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8f53b697e7f18281/Desktop/excel project/"/>
    </mc:Choice>
  </mc:AlternateContent>
  <xr:revisionPtr revIDLastSave="717" documentId="11_F25DC773A252ABDACC104886111E7BF65ADE58E5" xr6:coauthVersionLast="47" xr6:coauthVersionMax="47" xr10:uidLastSave="{29DCFE36-2027-4239-855C-6A309EA92DC2}"/>
  <bookViews>
    <workbookView xWindow="-108" yWindow="-108" windowWidth="23256" windowHeight="12456" activeTab="5" xr2:uid="{00000000-000D-0000-FFFF-FFFF00000000}"/>
  </bookViews>
  <sheets>
    <sheet name="New folder" sheetId="2" r:id="rId1"/>
    <sheet name="customers" sheetId="3" r:id="rId2"/>
    <sheet name="orders" sheetId="4" r:id="rId3"/>
    <sheet name="products" sheetId="5" r:id="rId4"/>
    <sheet name="Sheet1" sheetId="9" r:id="rId5"/>
    <sheet name="Dashboard" sheetId="10" r:id="rId6"/>
  </sheets>
  <definedNames>
    <definedName name="ExternalData_1" localSheetId="0" hidden="1">'New folder'!$A$1:$F$4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2" r:id="rId8"/>
    <pivotCache cacheId="15" r:id="rId9"/>
    <pivotCache cacheId="18" r:id="rId10"/>
    <pivotCache cacheId="21" r:id="rId11"/>
    <pivotCache cacheId="24" r:id="rId12"/>
    <pivotCache cacheId="27" r:id="rId13"/>
    <pivotCache cacheId="30"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folder_dcaff9a1-c55b-4bbd-90b3-ea29d2c589c5" name="New folder" connection="Query - New folder"/>
          <x15:modelTable id="customers_7edc55d9-0a00-445b-8134-84eda0f1e52f" name="customers" connection="Query - customers"/>
          <x15:modelTable id="orders_2e199ecb-f84f-4142-ad74-0e7fe42bdf99" name="orders" connection="Query - orders"/>
          <x15:modelTable id="products_41ec6047-de1f-474f-a360-ddba4ea2072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F15816-FE87-4E77-8C1F-471860237DB3}" keepAlive="1" name="ModelConnection_ExternalData_1" description="Data Model" type="5" refreshedVersion="8" minRefreshableVersion="5" saveData="1">
    <dbPr connection="Data Model Connection" command="New folder" commandType="3"/>
    <extLst>
      <ext xmlns:x15="http://schemas.microsoft.com/office/spreadsheetml/2010/11/main" uri="{DE250136-89BD-433C-8126-D09CA5730AF9}">
        <x15:connection id="" model="1"/>
      </ext>
    </extLst>
  </connection>
  <connection id="2" xr16:uid="{F39D32E3-F4A9-4638-B2B6-32A726545E3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50109A2-6FF4-4B85-A94F-B5D96B5B684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0009B46-534C-4284-A8B6-100E324662C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96CBCA7-C985-49E9-A9FD-5AAF7E87644D}" name="Query - customers" description="Connection to the 'customers' query in the workbook." type="100" refreshedVersion="8" minRefreshableVersion="5">
    <extLst>
      <ext xmlns:x15="http://schemas.microsoft.com/office/spreadsheetml/2010/11/main" uri="{DE250136-89BD-433C-8126-D09CA5730AF9}">
        <x15:connection id="0000784a-1ab6-4196-b507-3ab8b42d6a4a"/>
      </ext>
    </extLst>
  </connection>
  <connection id="6" xr16:uid="{0AF7C8F3-AB09-47DB-82EB-74C64062C4AC}" name="Query - New folder" description="Connection to the 'New folder' query in the workbook." type="100" refreshedVersion="8" minRefreshableVersion="5">
    <extLst>
      <ext xmlns:x15="http://schemas.microsoft.com/office/spreadsheetml/2010/11/main" uri="{DE250136-89BD-433C-8126-D09CA5730AF9}">
        <x15:connection id="41eee833-e3ea-43fa-a0a1-83937154fb11"/>
      </ext>
    </extLst>
  </connection>
  <connection id="7" xr16:uid="{65742302-FC9C-403A-8B6E-FB123556A87B}" name="Query - orders" description="Connection to the 'orders' query in the workbook." type="100" refreshedVersion="8" minRefreshableVersion="5">
    <extLst>
      <ext xmlns:x15="http://schemas.microsoft.com/office/spreadsheetml/2010/11/main" uri="{DE250136-89BD-433C-8126-D09CA5730AF9}">
        <x15:connection id="ff6121f1-dd85-492b-b55e-54e99e5ae295"/>
      </ext>
    </extLst>
  </connection>
  <connection id="8" xr16:uid="{8BCD916D-3632-428B-B200-DAE104A2A5C8}" name="Query - products" description="Connection to the 'products' query in the workbook." type="100" refreshedVersion="8" minRefreshableVersion="5">
    <extLst>
      <ext xmlns:x15="http://schemas.microsoft.com/office/spreadsheetml/2010/11/main" uri="{DE250136-89BD-433C-8126-D09CA5730AF9}">
        <x15:connection id="df42d8f1-4b22-45d6-a6df-e736f08e2e68"/>
      </ext>
    </extLst>
  </connection>
  <connection id="9" xr16:uid="{BEB3571A-E6A1-472D-91EB-B8D9B899E1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<sst xmlns="http://schemas.openxmlformats.org/spreadsheetml/2006/main" count="6025" uniqueCount="951">
  <si>
    <t>Name</t>
  </si>
  <si>
    <t>Extension</t>
  </si>
  <si>
    <t>Date accessed</t>
  </si>
  <si>
    <t>Date modified</t>
  </si>
  <si>
    <t>Date created</t>
  </si>
  <si>
    <t>Folder Path</t>
  </si>
  <si>
    <t>customers.csv</t>
  </si>
  <si>
    <t>.csv</t>
  </si>
  <si>
    <t>C:\Users\GAURAV\OneDrive\Desktop\New folder\</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</si>
  <si>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</si>
  <si>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</si>
  <si>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</si>
  <si>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</si>
  <si>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</si>
  <si>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</si>
  <si>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</si>
  <si>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</si>
  <si>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</si>
  <si>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</si>
  <si>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</si>
  <si>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</si>
  <si>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</si>
  <si>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</si>
  <si>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</si>
  <si>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</si>
  <si>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</si>
  <si>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</si>
  <si>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</si>
  <si>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</si>
  <si>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</si>
  <si>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</si>
  <si>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</si>
  <si>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</si>
  <si>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</si>
  <si>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</si>
  <si>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</si>
  <si>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</si>
  <si>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</si>
  <si>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</si>
  <si>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</si>
  <si>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</si>
  <si>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</si>
  <si>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</si>
  <si>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</si>
  <si>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</si>
  <si>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</si>
  <si>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</si>
  <si>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</si>
  <si>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</si>
  <si>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</si>
  <si>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</si>
  <si>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</si>
  <si>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</si>
  <si>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</si>
  <si>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</si>
  <si>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</si>
  <si>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</si>
  <si>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</si>
  <si>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</si>
  <si>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</si>
  <si>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</si>
  <si>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</si>
  <si>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</si>
  <si>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</si>
  <si>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</si>
  <si>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</si>
  <si>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</si>
  <si>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</si>
  <si>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</si>
  <si>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</si>
  <si>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</si>
  <si>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</si>
  <si>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</si>
  <si>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</si>
  <si>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</si>
  <si>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</si>
  <si>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</si>
  <si>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</si>
  <si>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</si>
  <si>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</si>
  <si>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</si>
  <si>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</si>
  <si>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</si>
  <si>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</si>
  <si>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</si>
  <si>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</si>
  <si>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</si>
  <si>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</si>
  <si>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</si>
  <si>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</si>
  <si>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</si>
  <si>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</si>
  <si>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</si>
  <si>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</si>
  <si>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</si>
  <si>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</si>
  <si>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</si>
  <si>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</si>
  <si>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</si>
  <si>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</si>
  <si>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</si>
  <si>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</si>
  <si>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</si>
  <si>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</si>
  <si>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</si>
  <si>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</si>
  <si>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</si>
  <si>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</si>
  <si>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</si>
  <si>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</si>
  <si>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</si>
  <si>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</si>
  <si>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</si>
  <si>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</si>
  <si>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</si>
  <si>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</si>
  <si>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</si>
  <si>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</si>
  <si>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</si>
  <si>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</si>
  <si>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</si>
  <si>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</si>
  <si>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</si>
  <si>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</si>
  <si>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</si>
  <si>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</si>
  <si>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</si>
  <si>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</si>
  <si>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</si>
  <si>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</si>
  <si>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</si>
  <si>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</si>
  <si>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</si>
  <si>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</si>
  <si>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</si>
  <si>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</si>
  <si>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</si>
  <si>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</si>
  <si>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</si>
  <si>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</si>
  <si>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</si>
  <si>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</si>
  <si>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</si>
  <si>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</si>
  <si>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</si>
  <si>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</si>
  <si>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</si>
  <si>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</si>
  <si>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</si>
  <si>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</si>
  <si>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</si>
  <si>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</si>
  <si>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</si>
  <si>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</si>
  <si>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</si>
  <si>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</si>
  <si>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</si>
  <si>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</si>
  <si>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</si>
  <si>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</si>
  <si>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</si>
  <si>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</si>
  <si>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</si>
  <si>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</si>
  <si>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</si>
  <si>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</si>
  <si>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</si>
  <si>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</si>
  <si>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</si>
  <si>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</si>
  <si>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</si>
  <si>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</si>
  <si>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</si>
  <si>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</si>
  <si>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</si>
  <si>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</si>
  <si>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</si>
  <si>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</si>
  <si>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</si>
  <si>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</si>
  <si>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</si>
  <si>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</si>
  <si>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</si>
  <si>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</si>
  <si>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</si>
  <si>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</si>
  <si>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</si>
  <si>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</si>
  <si>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</si>
  <si>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</si>
  <si>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</si>
  <si>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</si>
  <si>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</si>
  <si>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</si>
  <si>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</si>
  <si>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</si>
  <si>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</si>
  <si>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</si>
  <si>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</si>
  <si>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</si>
  <si>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</si>
  <si>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</si>
  <si>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</si>
  <si>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</si>
  <si>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</si>
  <si>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</si>
  <si>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</si>
  <si>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</si>
  <si>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</si>
  <si>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</si>
  <si>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</si>
  <si>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</si>
  <si>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</si>
  <si>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</si>
  <si>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</si>
  <si>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</si>
  <si>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</si>
  <si>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</si>
  <si>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</si>
  <si>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</si>
  <si>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</si>
  <si>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</si>
  <si>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</si>
  <si>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</si>
  <si>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</si>
  <si>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</si>
  <si>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</si>
  <si>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</si>
  <si>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</si>
  <si>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</si>
  <si>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</si>
  <si>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</si>
  <si>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</si>
  <si>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</si>
  <si>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</si>
  <si>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</si>
  <si>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</si>
  <si>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</si>
  <si>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</si>
  <si>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</si>
  <si>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</si>
  <si>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</si>
  <si>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</si>
  <si>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</si>
  <si>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</si>
  <si>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</si>
  <si>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</si>
  <si>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</si>
  <si>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</si>
  <si>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</si>
  <si>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</si>
  <si>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</si>
  <si>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</si>
  <si>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</si>
  <si>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</si>
  <si>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</si>
  <si>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</si>
  <si>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</si>
  <si>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</si>
  <si>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</si>
  <si>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</si>
  <si>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</si>
  <si>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</si>
  <si>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</si>
  <si>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</si>
  <si>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</si>
  <si>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</si>
  <si>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</si>
  <si>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</si>
  <si>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</si>
  <si>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</si>
  <si>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</si>
  <si>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</si>
  <si>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</si>
  <si>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</si>
  <si>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</si>
  <si>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</si>
  <si>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</si>
  <si>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</si>
  <si>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</si>
  <si>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</si>
  <si>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</si>
  <si>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</si>
  <si>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</si>
  <si>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</si>
  <si>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</si>
  <si>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</si>
  <si>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</si>
  <si>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</si>
  <si>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</si>
  <si>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</si>
  <si>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</si>
  <si>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</si>
  <si>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</si>
  <si>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</si>
  <si>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</si>
  <si>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</si>
  <si>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</si>
  <si>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</si>
  <si>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</si>
  <si>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</si>
  <si>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</si>
  <si>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</si>
  <si>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</si>
  <si>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</si>
  <si>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</si>
  <si>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</si>
  <si>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</si>
  <si>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</si>
  <si>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</si>
  <si>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</si>
  <si>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</si>
  <si>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</si>
  <si>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</si>
  <si>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</si>
  <si>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</si>
  <si>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</si>
  <si>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</si>
  <si>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</si>
  <si>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</si>
  <si>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</si>
  <si>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</si>
  <si>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</si>
  <si>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</si>
  <si>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</si>
  <si>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</si>
  <si>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</si>
  <si>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</si>
  <si>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</si>
  <si>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</si>
  <si>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</si>
  <si>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</si>
  <si>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</si>
  <si>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</si>
  <si>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</si>
  <si>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</si>
  <si>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</si>
  <si>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</si>
  <si>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</si>
  <si>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</si>
  <si>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</si>
  <si>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</si>
  <si>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</si>
  <si>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</si>
  <si>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</si>
  <si>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</si>
  <si>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</si>
  <si>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</si>
  <si>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</si>
  <si>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</si>
  <si>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</si>
  <si>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</si>
  <si>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</si>
  <si>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</si>
  <si>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</si>
  <si>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</si>
  <si>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</si>
  <si>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</si>
  <si>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</si>
  <si>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</si>
  <si>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</si>
  <si>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</si>
  <si>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</si>
  <si>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</si>
  <si>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</si>
  <si>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</si>
  <si>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</si>
  <si>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</si>
  <si>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</si>
  <si>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</si>
  <si>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</si>
  <si>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</si>
  <si>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</si>
  <si>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</si>
  <si>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</si>
  <si>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</si>
  <si>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</si>
  <si>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</si>
  <si>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</si>
  <si>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</si>
  <si>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</si>
  <si>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</si>
  <si>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</si>
  <si>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</si>
  <si>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</si>
  <si>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</si>
  <si>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</si>
  <si>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</si>
  <si>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</si>
  <si>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</si>
  <si>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</si>
  <si>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</si>
  <si>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</si>
  <si>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</si>
  <si>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</si>
  <si>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</si>
  <si>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</si>
  <si>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</si>
  <si>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</si>
  <si>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</si>
  <si>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</si>
  <si>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</si>
  <si>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</si>
  <si>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</si>
  <si>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</si>
  <si>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</si>
  <si>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</si>
  <si>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</si>
  <si>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</si>
  <si>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</si>
  <si>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</si>
  <si>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</si>
  <si>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</si>
  <si>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</si>
  <si>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</si>
  <si>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</si>
  <si>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</si>
  <si>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</si>
  <si>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</si>
  <si>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</si>
  <si>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</si>
  <si>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</si>
  <si>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</si>
  <si>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</si>
  <si>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</si>
  <si>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</si>
  <si>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</si>
  <si>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</si>
  <si>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</si>
  <si>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</si>
  <si>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</si>
  <si>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</si>
  <si>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</si>
  <si>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</si>
  <si>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</si>
  <si>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</si>
  <si>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</si>
  <si>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</si>
  <si>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</si>
  <si>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</si>
  <si>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</si>
  <si>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</si>
  <si>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</si>
  <si>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</si>
  <si>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</si>
  <si>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</si>
  <si>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</si>
  <si>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</si>
  <si>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</si>
  <si>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</si>
  <si>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</si>
  <si>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</si>
  <si>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</si>
  <si>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</si>
  <si>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</si>
  <si>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</si>
  <si>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</si>
  <si>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</si>
  <si>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</si>
  <si>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</si>
  <si>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</si>
  <si>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</si>
  <si>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</si>
  <si>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</si>
  <si>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</si>
  <si>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</si>
  <si>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</si>
  <si>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</si>
  <si>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</si>
  <si>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</si>
  <si>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</si>
  <si>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</si>
  <si>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</si>
  <si>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</si>
  <si>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</si>
  <si>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</si>
  <si>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</si>
  <si>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</si>
  <si>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</si>
  <si>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</si>
  <si>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</si>
  <si>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</si>
  <si>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</si>
  <si>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</si>
  <si>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</si>
  <si>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</si>
  <si>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</si>
  <si>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</si>
  <si>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</si>
  <si>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</si>
  <si>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</si>
  <si>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</si>
  <si>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</si>
  <si>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</si>
  <si>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</si>
  <si>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</si>
  <si>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</si>
  <si>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</si>
  <si>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</si>
  <si>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</si>
  <si>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</si>
  <si>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</si>
  <si>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</si>
  <si>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</si>
  <si>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</si>
  <si>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</si>
  <si>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</si>
  <si>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</si>
  <si>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</si>
  <si>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</si>
  <si>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</si>
  <si>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</si>
  <si>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</si>
  <si>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</si>
  <si>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</si>
  <si>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</si>
  <si>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</si>
  <si>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</si>
  <si>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</si>
  <si>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</si>
  <si>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</si>
  <si>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</si>
  <si>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</si>
  <si>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</si>
  <si>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</si>
  <si>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</si>
  <si>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</si>
  <si>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</si>
  <si>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</si>
  <si>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</si>
  <si>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</si>
  <si>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</si>
  <si>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</si>
  <si>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</si>
  <si>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</si>
  <si>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</si>
  <si>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</si>
  <si>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</si>
  <si>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</si>
  <si>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</si>
  <si>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</si>
  <si>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</si>
  <si>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</si>
  <si>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</si>
  <si>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</si>
  <si>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</si>
  <si>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</si>
  <si>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</si>
  <si>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</si>
  <si>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</si>
  <si>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</si>
  <si>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</si>
  <si>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</si>
  <si>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</si>
  <si>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</si>
  <si>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</si>
  <si>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</si>
  <si>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</si>
  <si>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</si>
  <si>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</si>
  <si>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</si>
  <si>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</si>
  <si>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</si>
  <si>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</si>
  <si>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</si>
  <si>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</si>
  <si>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</si>
  <si>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</si>
  <si>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</si>
  <si>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</si>
  <si>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</si>
  <si>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</si>
  <si>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</si>
  <si>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</si>
  <si>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</si>
  <si>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</si>
  <si>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</si>
  <si>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</si>
  <si>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</si>
  <si>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</si>
  <si>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</si>
  <si>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</si>
  <si>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</si>
  <si>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</si>
  <si>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</si>
  <si>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</si>
  <si>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</si>
  <si>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</si>
  <si>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</si>
  <si>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</si>
  <si>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</si>
  <si>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</si>
  <si>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</si>
  <si>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</si>
  <si>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</si>
  <si>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</si>
  <si>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</si>
  <si>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</si>
  <si>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</si>
  <si>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</si>
  <si>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</si>
  <si>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</si>
  <si>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</si>
  <si>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</si>
  <si>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</si>
  <si>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</si>
  <si>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</si>
  <si>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</si>
  <si>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</si>
  <si>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</si>
  <si>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</si>
  <si>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</si>
  <si>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</si>
  <si>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</si>
  <si>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</si>
  <si>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</si>
  <si>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</si>
  <si>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</si>
  <si>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</si>
  <si>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</si>
  <si>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</si>
  <si>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</si>
  <si>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</si>
  <si>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</si>
  <si>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</si>
  <si>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</si>
  <si>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</si>
  <si>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</si>
  <si>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</si>
  <si>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</si>
  <si>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</si>
  <si>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</si>
  <si>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</si>
  <si>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</si>
  <si>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</si>
  <si>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</si>
  <si>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</si>
  <si>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</si>
  <si>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</si>
  <si>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</si>
  <si>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</si>
  <si>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</si>
  <si>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</si>
  <si>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</si>
  <si>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</si>
  <si>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</si>
  <si>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</si>
  <si>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</si>
  <si>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</si>
  <si>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</si>
  <si>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</si>
  <si>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</si>
  <si>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</si>
  <si>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</si>
  <si>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</si>
  <si>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</si>
  <si>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</si>
  <si>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</si>
  <si>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</si>
  <si>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</si>
  <si>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</si>
  <si>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</si>
  <si>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</si>
  <si>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</si>
  <si>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</si>
  <si>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</si>
  <si>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</si>
  <si>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</si>
  <si>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</si>
  <si>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</si>
  <si>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</si>
  <si>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</si>
  <si>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</si>
  <si>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</si>
  <si>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</si>
  <si>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</si>
  <si>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</si>
  <si>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</si>
  <si>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</si>
  <si>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</si>
  <si>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</si>
  <si>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</si>
  <si>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</si>
  <si>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</si>
  <si>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</si>
  <si>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</si>
  <si>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</si>
  <si>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</si>
  <si>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</si>
  <si>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</si>
  <si>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</si>
  <si>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</si>
  <si>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</si>
  <si>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</si>
  <si>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</si>
  <si>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</si>
  <si>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</si>
  <si>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</si>
  <si>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</si>
  <si>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</si>
  <si>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</si>
  <si>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</si>
  <si>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</si>
  <si>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</si>
  <si>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</si>
  <si>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</si>
  <si>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</si>
  <si>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</si>
  <si>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</si>
  <si>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</si>
  <si>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</si>
  <si>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</si>
  <si>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</si>
  <si>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</si>
  <si>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</si>
  <si>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</si>
  <si>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</si>
  <si>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</si>
  <si>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</si>
  <si>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</si>
  <si>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</si>
  <si>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</si>
  <si>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</si>
  <si>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</si>
  <si>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</si>
  <si>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</si>
  <si>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</si>
  <si>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</si>
  <si>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</si>
  <si>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</si>
  <si>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</si>
  <si>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</si>
  <si>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</si>
  <si>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</si>
  <si>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</si>
  <si>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</si>
  <si>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</si>
  <si>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</si>
  <si>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</si>
  <si>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</si>
  <si>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</si>
  <si>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</si>
  <si>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</si>
  <si>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</si>
  <si>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</si>
  <si>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</si>
  <si>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</si>
  <si>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</si>
  <si>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</si>
  <si>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</si>
  <si>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</si>
  <si>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</si>
  <si>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</si>
  <si>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</si>
  <si>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</si>
  <si>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</si>
  <si>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</si>
  <si>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</si>
  <si>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</si>
  <si>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</si>
  <si>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</si>
  <si>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</si>
  <si>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</si>
  <si>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</si>
  <si>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</si>
  <si>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</si>
  <si>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</si>
  <si>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</si>
  <si>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</si>
  <si>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</si>
  <si>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</si>
  <si>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</si>
  <si>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</si>
  <si>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</si>
  <si>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</si>
  <si>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</si>
  <si>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</si>
  <si>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</si>
  <si>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</si>
  <si>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</si>
  <si>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</si>
  <si>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</si>
  <si>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</si>
  <si>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</si>
  <si>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</si>
  <si>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</si>
  <si>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</si>
  <si>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</si>
  <si>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</si>
  <si>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</si>
  <si>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</si>
  <si>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</si>
  <si>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</si>
  <si>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</si>
  <si>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</si>
  <si>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</si>
  <si>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</si>
  <si>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</si>
  <si>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</si>
  <si>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</si>
  <si>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</si>
  <si>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</si>
  <si>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</si>
  <si>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</si>
  <si>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</si>
  <si>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</si>
  <si>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</si>
  <si>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</si>
  <si>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</si>
  <si>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</si>
  <si>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</si>
  <si>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</si>
  <si>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</si>
  <si>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</si>
  <si>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</si>
  <si>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</si>
  <si>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</si>
  <si>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</si>
  <si>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</si>
  <si>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</si>
  <si>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</si>
  <si>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</si>
  <si>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</si>
  <si>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</si>
  <si>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</si>
  <si>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</si>
  <si>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</si>
  <si>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</si>
  <si>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</si>
  <si>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</si>
  <si>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</si>
  <si>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</si>
  <si>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</si>
  <si>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</si>
  <si>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</si>
  <si>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</si>
  <si>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</si>
  <si>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</si>
  <si>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</si>
  <si>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</si>
  <si>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</si>
  <si>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</si>
  <si>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</si>
  <si>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</si>
  <si>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</si>
  <si>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</si>
  <si>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</si>
  <si>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</si>
  <si>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</si>
  <si>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</si>
  <si>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</si>
  <si>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</si>
  <si>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</si>
  <si>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</si>
  <si>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</si>
  <si>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</si>
  <si>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</si>
  <si>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</si>
  <si>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</si>
  <si>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</si>
  <si>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</si>
  <si>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</si>
  <si>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</si>
  <si>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</si>
  <si>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</si>
  <si>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</si>
  <si>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</si>
  <si>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</si>
  <si>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</si>
  <si>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</si>
  <si>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</si>
  <si>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</si>
  <si>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</si>
  <si>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</si>
  <si>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</si>
  <si>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</si>
  <si>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</si>
  <si>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</si>
  <si>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</si>
  <si>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</si>
  <si>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</si>
  <si>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</si>
  <si>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</si>
  <si>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</si>
  <si>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</si>
  <si>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</si>
  <si>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</si>
  <si>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</si>
  <si>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</si>
  <si>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</si>
  <si>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</si>
  <si>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</si>
  <si>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</si>
  <si>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</si>
  <si>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</si>
  <si>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</si>
  <si>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</si>
  <si>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</si>
  <si>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</si>
  <si>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</si>
  <si>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</si>
  <si>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</si>
  <si>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</si>
  <si>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</si>
  <si>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</si>
  <si>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</si>
  <si>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</si>
  <si>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</si>
  <si>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</si>
  <si>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</si>
  <si>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</si>
  <si>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</si>
  <si>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</si>
  <si>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</si>
  <si>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</si>
  <si>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</si>
  <si>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</si>
  <si>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</si>
  <si>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</si>
  <si>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</si>
  <si>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</si>
  <si>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</si>
  <si>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</si>
  <si>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</si>
  <si>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</si>
  <si>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</si>
  <si>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</si>
  <si>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</si>
  <si>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</si>
  <si>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</si>
  <si>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</si>
  <si>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</si>
  <si>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</si>
  <si>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</si>
  <si>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</si>
  <si>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</si>
  <si>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</si>
  <si>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</si>
  <si>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</si>
  <si>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</si>
  <si>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</si>
  <si>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</si>
  <si>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</si>
  <si>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</si>
  <si>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</si>
  <si>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 xml:space="preserve">Average of Customer Spending </t>
  </si>
  <si>
    <t>Count of Order_ID</t>
  </si>
  <si>
    <t>Strongly  negative = -1</t>
  </si>
  <si>
    <t>strongly positive = 1</t>
  </si>
  <si>
    <t>neutral = near zero</t>
  </si>
  <si>
    <t xml:space="preserve">Total Ordesr Placed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</si>
</sst>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Microsoft Excel Worksheet.xlsx]Sheet1!PivotTable7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Sheet1!$I$7</c:f>
              <c:strCache>
                <c:ptCount val="1"/>
                <c:pt idx="0">
                  <c:v>Total</c:v>
                </c:pt>
              </c:strCache>
            </c:strRef>
          </c:tx>
          <c:spPr>
            <a:solidFill>
              <a:schemeClr val="accent6"/>
            </a:solidFill>
            <a:ln>
              <a:noFill/>
            </a:ln>
            <a:effectLst/>
          </c:spPr>
          <c:invertIfNegative val="0"/>
          <c:cat>
            <c:strRef>
              <c:f>Sheet1!$H$8:$H$15</c:f>
              <c:strCache>
                <c:ptCount val="7"/>
                <c:pt idx="0">
                  <c:v>All Occasions</c:v>
                </c:pt>
                <c:pt idx="1">
                  <c:v>Anniversary</c:v>
                </c:pt>
                <c:pt idx="2">
                  <c:v>Birthday</c:v>
                </c:pt>
                <c:pt idx="3">
                  <c:v>Diwali</c:v>
                </c:pt>
                <c:pt idx="4">
                  <c:v>Holi</c:v>
                </c:pt>
                <c:pt idx="5">
                  <c:v>Raksha Bandhan</c:v>
                </c:pt>
                <c:pt idx="6">
                  <c:v>Valentine's Day</c:v>
                </c:pt>
              </c:strCache>
            </c:strRef>
          </c:cat>
          <c:val>
            <c:numRef>
              <c:f>Sheet1!$I$8:$I$15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E-5453-48B1-92B3-8B634A7628C0}"/>
            </c:ext>
          </c:extLst>
        </c:ser>
        <c:dLbls>
          <c:showLegendKey val="0"/>
          <c:showVal val="0"/>
          <c:showCatName val="0"/>
          <c:showSerName val="0"/>
          <c:showPercent val="0"/>
          <c:showBubbleSize val="0"/>
        </c:dLbls>
        <c:gapWidth val="219"/>
        <c:overlap val="-27"/>
        <c:axId val="1680501263"/>
        <c:axId val="1680499343"/>
      </c:barChart>
      <c:catAx>
        <c:axId val="168050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499343"/>
        <c:crosses val="autoZero"/>
        <c:auto val="1"/>
        <c:lblAlgn val="ctr"/>
        <c:lblOffset val="100"/>
        <c:noMultiLvlLbl val="0"/>
      </c:catAx>
      <c:valAx>
        <c:axId val="1680499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50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Microsoft Excel Worksheet.xlsx]Sheet1!PivotTable5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c:f>
              <c:strCache>
                <c:ptCount val="1"/>
                <c:pt idx="0">
                  <c:v>Total</c:v>
                </c:pt>
              </c:strCache>
            </c:strRef>
          </c:tx>
          <c:spPr>
            <a:solidFill>
              <a:schemeClr val="accent6"/>
            </a:solidFill>
            <a:ln>
              <a:noFill/>
            </a:ln>
            <a:effectLst/>
          </c:spPr>
          <c:invertIfNegative val="0"/>
          <c:cat>
            <c:strRef>
              <c:f>Sheet1!$A$24:$A$31</c:f>
              <c:strCache>
                <c:ptCount val="7"/>
                <c:pt idx="0">
                  <c:v>Cake</c:v>
                </c:pt>
                <c:pt idx="1">
                  <c:v>Colors</c:v>
                </c:pt>
                <c:pt idx="2">
                  <c:v>Mugs</c:v>
                </c:pt>
                <c:pt idx="3">
                  <c:v>Plants</c:v>
                </c:pt>
                <c:pt idx="4">
                  <c:v>Raksha Bandhan</c:v>
                </c:pt>
                <c:pt idx="5">
                  <c:v>Soft Toys</c:v>
                </c:pt>
                <c:pt idx="6">
                  <c:v>Sweets</c:v>
                </c:pt>
              </c:strCache>
            </c:strRef>
          </c:cat>
          <c:val>
            <c:numRef>
              <c:f>Sheet1!$B$24:$B$31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E-363C-4810-B65E-B1D350AD2A0A}"/>
            </c:ext>
          </c:extLst>
        </c:ser>
        <c:dLbls>
          <c:showLegendKey val="0"/>
          <c:showVal val="0"/>
          <c:showCatName val="0"/>
          <c:showSerName val="0"/>
          <c:showPercent val="0"/>
          <c:showBubbleSize val="0"/>
        </c:dLbls>
        <c:gapWidth val="219"/>
        <c:overlap val="-27"/>
        <c:axId val="181940400"/>
        <c:axId val="181941360"/>
      </c:barChart>
      <c:catAx>
        <c:axId val="18194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41360"/>
        <c:crosses val="autoZero"/>
        <c:auto val="1"/>
        <c:lblAlgn val="ctr"/>
        <c:lblOffset val="100"/>
        <c:noMultiLvlLbl val="0"/>
      </c:catAx>
      <c:valAx>
        <c:axId val="181941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4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Microsoft Excel Worksheet.xlsx]Sheet1!PivotTable2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c:f>
              <c:strCache>
                <c:ptCount val="1"/>
                <c:pt idx="0">
                  <c:v>Total</c:v>
                </c:pt>
              </c:strCache>
            </c:strRef>
          </c:tx>
          <c:spPr>
            <a:ln w="28575" cap="rnd">
              <a:solidFill>
                <a:schemeClr val="accent6"/>
              </a:solidFill>
              <a:round/>
            </a:ln>
            <a:effectLst/>
          </c:spPr>
          <c:marker>
            <c:symbol val="none"/>
          </c:marker>
          <c:cat>
            <c:strRef>
              <c:f>Sheet1!$A$7:$A$19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Sheet1!$B$7:$B$19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E-8965-4E38-9ADB-BAB1F2C7EE36}"/>
            </c:ext>
          </c:extLst>
        </c:ser>
        <c:dLbls>
          <c:showLegendKey val="0"/>
          <c:showVal val="0"/>
          <c:showCatName val="0"/>
          <c:showSerName val="0"/>
          <c:showPercent val="0"/>
          <c:showBubbleSize val="0"/>
        </c:dLbls>
        <c:smooth val="0"/>
        <c:axId val="248390368"/>
        <c:axId val="248393248"/>
      </c:lineChart>
      <c:catAx>
        <c:axId val="24839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93248"/>
        <c:crosses val="autoZero"/>
        <c:auto val="1"/>
        <c:lblAlgn val="ctr"/>
        <c:lblOffset val="100"/>
        <c:noMultiLvlLbl val="0"/>
      </c:catAx>
      <c:valAx>
        <c:axId val="248393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9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Microsoft Excel Worksheet.xlsx]Sheet1!PivotTable4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6"/>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E-684E-48C5-BBF0-A6524637250C}"/>
            </c:ext>
          </c:extLst>
        </c:ser>
        <c:dLbls>
          <c:showLegendKey val="0"/>
          <c:showVal val="0"/>
          <c:showCatName val="0"/>
          <c:showSerName val="0"/>
          <c:showPercent val="0"/>
          <c:showBubbleSize val="0"/>
        </c:dLbls>
        <c:gapWidth val="219"/>
        <c:overlap val="-27"/>
        <c:axId val="246770864"/>
        <c:axId val="246768944"/>
      </c:barChart>
      <c:catAx>
        <c:axId val="24677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768944"/>
        <c:crosses val="autoZero"/>
        <c:auto val="1"/>
        <c:lblAlgn val="ctr"/>
        <c:lblOffset val="100"/>
        <c:noMultiLvlLbl val="0"/>
      </c:catAx>
      <c:valAx>
        <c:axId val="246768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77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Microsoft Excel Worksheet.xlsx]Sheet1!PivotTable6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c:f>
              <c:strCache>
                <c:ptCount val="1"/>
                <c:pt idx="0">
                  <c:v>Total</c:v>
                </c:pt>
              </c:strCache>
            </c:strRef>
          </c:tx>
          <c:spPr>
            <a:solidFill>
              <a:schemeClr val="accent6"/>
            </a:solidFill>
            <a:ln>
              <a:noFill/>
            </a:ln>
            <a:effectLst/>
          </c:spPr>
          <c:invertIfNegative val="0"/>
          <c:cat>
            <c:strRef>
              <c:f>Sheet1!$D$17:$D$27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Sheet1!$E$17:$E$27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E-FF0A-4206-BE08-A5CF2EB81784}"/>
            </c:ext>
          </c:extLst>
        </c:ser>
        <c:dLbls>
          <c:showLegendKey val="0"/>
          <c:showVal val="0"/>
          <c:showCatName val="0"/>
          <c:showSerName val="0"/>
          <c:showPercent val="0"/>
          <c:showBubbleSize val="0"/>
        </c:dLbls>
        <c:gapWidth val="219"/>
        <c:overlap val="-27"/>
        <c:axId val="332125552"/>
        <c:axId val="332126032"/>
      </c:barChart>
      <c:catAx>
        <c:axId val="33212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126032"/>
        <c:crosses val="autoZero"/>
        <c:auto val="1"/>
        <c:lblAlgn val="ctr"/>
        <c:lblOffset val="100"/>
        <c:noMultiLvlLbl val="0"/>
      </c:catAx>
      <c:valAx>
        <c:axId val="33212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12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 Microsoft Excel Worksheet.xlsx]Sheet1!PivotTable10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Sheet1!$D$34</c:f>
              <c:strCache>
                <c:ptCount val="1"/>
                <c:pt idx="0">
                  <c:v>Total</c:v>
                </c:pt>
              </c:strCache>
            </c:strRef>
          </c:tx>
          <c:spPr>
            <a:ln w="28575" cap="rnd">
              <a:solidFill>
                <a:schemeClr val="accent6"/>
              </a:solidFill>
              <a:round/>
            </a:ln>
            <a:effectLst/>
          </c:spPr>
          <c:marker>
            <c:symbol val="none"/>
          </c:marker>
          <c:cat>
            <c:strRef>
              <c:f>Sheet1!$C$35:$C$59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Sheet1!$D$35:$D$59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E-57A5-44E1-BBD9-7F39AA35955A}"/>
            </c:ext>
          </c:extLst>
        </c:ser>
        <c:dLbls>
          <c:showLegendKey val="0"/>
          <c:showVal val="0"/>
          <c:showCatName val="0"/>
          <c:showSerName val="0"/>
          <c:showPercent val="0"/>
          <c:showBubbleSize val="0"/>
        </c:dLbls>
        <c:smooth val="0"/>
        <c:axId val="255242544"/>
        <c:axId val="255245904"/>
      </c:lineChart>
      <c:catAx>
        <c:axId val="25524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45904"/>
        <c:crosses val="autoZero"/>
        <c:auto val="1"/>
        <c:lblAlgn val="ctr"/>
        <c:lblOffset val="100"/>
        <c:tickLblSkip val="2"/>
        <c:noMultiLvlLbl val="0"/>
      </c:catAx>
      <c:valAx>
        <c:axId val="255245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4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117157</xdr:colOff>
      <xdr:row>8</xdr:row>
      <xdr:rowOff>7620</xdr:rowOff>
    </xdr:from>
    <xdr:to>
      <xdr:col>7</xdr:col>
      <xdr:colOff>0</xdr:colOff>
      <xdr:row>23</xdr:row>
      <xdr:rowOff>0</xdr:rowOff>
    </xdr:to>
    <xdr:graphicFrame macro="">
      <xdr:nvGraphicFramePr>
        <xdr:cNvPr id="2" name="Chart 1">
          <a:extLst>
            <a:ext uri="{FF2B5EF4-FFF2-40B4-BE49-F238E27FC236}">
              <a16:creationId xmlns:a16="http://schemas.microsoft.com/office/drawing/2014/main" id="{94ADCF78-3F7D-46AF-90F8-83CFD1D49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15715</xdr:colOff>
      <xdr:row>7</xdr:row>
      <xdr:rowOff>179544</xdr:rowOff>
    </xdr:from>
    <xdr:to>
      <xdr:col>13</xdr:col>
      <xdr:colOff>594360</xdr:colOff>
      <xdr:row>22</xdr:row>
      <xdr:rowOff>175260</xdr:rowOff>
    </xdr:to>
    <xdr:graphicFrame macro="">
      <xdr:nvGraphicFramePr>
        <xdr:cNvPr id="3" name="Chart 2">
          <a:extLst>
            <a:ext uri="{FF2B5EF4-FFF2-40B4-BE49-F238E27FC236}">
              <a16:creationId xmlns:a16="http://schemas.microsoft.com/office/drawing/2014/main" id="{BE5DFEF7-1ADA-4801-8B08-8737D258B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100012</xdr:colOff>
      <xdr:row>23</xdr:row>
      <xdr:rowOff>17144</xdr:rowOff>
    </xdr:from>
    <xdr:to>
      <xdr:col>7</xdr:col>
      <xdr:colOff>0</xdr:colOff>
      <xdr:row>38</xdr:row>
      <xdr:rowOff>160020</xdr:rowOff>
    </xdr:to>
    <xdr:graphicFrame macro="">
      <xdr:nvGraphicFramePr>
        <xdr:cNvPr id="4" name="Chart 3">
          <a:extLst>
            <a:ext uri="{FF2B5EF4-FFF2-40B4-BE49-F238E27FC236}">
              <a16:creationId xmlns:a16="http://schemas.microsoft.com/office/drawing/2014/main" id="{84647AC6-F4DE-4E23-B64B-809A190DF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13811</xdr:colOff>
      <xdr:row>23</xdr:row>
      <xdr:rowOff>15716</xdr:rowOff>
    </xdr:from>
    <xdr:to>
      <xdr:col>13</xdr:col>
      <xdr:colOff>594360</xdr:colOff>
      <xdr:row>38</xdr:row>
      <xdr:rowOff>167640</xdr:rowOff>
    </xdr:to>
    <xdr:graphicFrame macro="">
      <xdr:nvGraphicFramePr>
        <xdr:cNvPr id="5" name="Chart 4">
          <a:extLst>
            <a:ext uri="{FF2B5EF4-FFF2-40B4-BE49-F238E27FC236}">
              <a16:creationId xmlns:a16="http://schemas.microsoft.com/office/drawing/2014/main" id="{5E200933-E5D3-4D28-B07D-022488F18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2379</xdr:colOff>
      <xdr:row>23</xdr:row>
      <xdr:rowOff>13812</xdr:rowOff>
    </xdr:from>
    <xdr:to>
      <xdr:col>20</xdr:col>
      <xdr:colOff>601980</xdr:colOff>
      <xdr:row>38</xdr:row>
      <xdr:rowOff>167640</xdr:rowOff>
    </xdr:to>
    <xdr:graphicFrame macro="">
      <xdr:nvGraphicFramePr>
        <xdr:cNvPr id="6" name="Chart 5">
          <a:extLst>
            <a:ext uri="{FF2B5EF4-FFF2-40B4-BE49-F238E27FC236}">
              <a16:creationId xmlns:a16="http://schemas.microsoft.com/office/drawing/2014/main" id="{79B5F973-C1F1-4601-BCA7-592AFE8E9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3335</xdr:colOff>
      <xdr:row>8</xdr:row>
      <xdr:rowOff>952</xdr:rowOff>
    </xdr:from>
    <xdr:to>
      <xdr:col>20</xdr:col>
      <xdr:colOff>594360</xdr:colOff>
      <xdr:row>23</xdr:row>
      <xdr:rowOff>0</xdr:rowOff>
    </xdr:to>
    <xdr:graphicFrame macro="">
      <xdr:nvGraphicFramePr>
        <xdr:cNvPr id="7" name="Chart 6">
          <a:extLst>
            <a:ext uri="{FF2B5EF4-FFF2-40B4-BE49-F238E27FC236}">
              <a16:creationId xmlns:a16="http://schemas.microsoft.com/office/drawing/2014/main" id="{9B1272CD-A281-48E7-8F91-9DBA3E345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586498</xdr:colOff>
      <xdr:row>2</xdr:row>
      <xdr:rowOff>13812</xdr:rowOff>
    </xdr:from>
    <xdr:to>
      <xdr:col>9</xdr:col>
      <xdr:colOff>75137</xdr:colOff>
      <xdr:row>6</xdr:row>
      <xdr:rowOff>175260</xdr:rowOff>
    </xdr:to>
    <xdr:sp macro="" textlink="">
      <xdr:nvSpPr>
        <xdr:cNvPr id="8" name="Rectangle: Rounded Corners 7">
          <a:extLst>
            <a:ext uri="{FF2B5EF4-FFF2-40B4-BE49-F238E27FC236}">
              <a16:creationId xmlns:a16="http://schemas.microsoft.com/office/drawing/2014/main" id="{AD3CC024-FD76-4997-F3F7-314861CA7BB7}"/>
            </a:ext>
          </a:extLst>
        </xdr:cNvPr>
        <xdr:cNvSpPr/>
      </xdr:nvSpPr>
      <xdr:spPr>
        <a:xfrm>
          <a:off x="3643358" y="385952"/>
          <a:ext cx="1934128" cy="905727"/>
        </a:xfrm>
        <a:prstGeom prst="round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1000</a:t>
          </a:r>
        </a:p>
        <a:p>
          <a:pPr algn="ctr"/>
          <a:r>
            <a:rPr lang="en-US" sz="1800" b="1">
              <a:solidFill>
                <a:schemeClr val="tx1"/>
              </a:solidFill>
            </a:rPr>
            <a:t>Total Orders</a:t>
          </a:r>
        </a:p>
        <a:p>
          <a:pPr algn="ctr"/>
          <a:endParaRPr lang="en-US" sz="1800" b="1">
            <a:solidFill>
              <a:schemeClr val="tx1"/>
            </a:solidFill>
          </a:endParaRPr>
        </a:p>
      </xdr:txBody>
    </xdr:sp>
    <xdr:clientData/>
  </xdr:twoCellAnchor>
  <xdr:twoCellAnchor>
    <xdr:from>
      <xdr:col>17</xdr:col>
      <xdr:colOff>351307</xdr:colOff>
      <xdr:row>1</xdr:row>
      <xdr:rowOff>182349</xdr:rowOff>
    </xdr:from>
    <xdr:to>
      <xdr:col>20</xdr:col>
      <xdr:colOff>469604</xdr:colOff>
      <xdr:row>7</xdr:row>
      <xdr:rowOff>8860</xdr:rowOff>
    </xdr:to>
    <xdr:sp macro="" textlink="Sheet1!G2">
      <xdr:nvSpPr>
        <xdr:cNvPr id="9" name="Rectangle: Rounded Corners 8">
          <a:extLst>
            <a:ext uri="{FF2B5EF4-FFF2-40B4-BE49-F238E27FC236}">
              <a16:creationId xmlns:a16="http://schemas.microsoft.com/office/drawing/2014/main" id="{D9810B83-1052-40F7-90AC-8BC8142D8BAC}"/>
            </a:ext>
          </a:extLst>
        </xdr:cNvPr>
        <xdr:cNvSpPr/>
      </xdr:nvSpPr>
      <xdr:spPr>
        <a:xfrm>
          <a:off x="10744633" y="368419"/>
          <a:ext cx="1952413" cy="942929"/>
        </a:xfrm>
        <a:prstGeom prst="round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C4F96E-71EC-42DA-95B4-EAB702D97754}" type="TxLink">
            <a:rPr lang="en-US" sz="1800" b="1" i="0" u="none" strike="noStrike">
              <a:solidFill>
                <a:srgbClr val="000000"/>
              </a:solidFill>
              <a:latin typeface="Calibri"/>
              <a:ea typeface="Calibri"/>
              <a:cs typeface="Calibri"/>
            </a:rPr>
            <a:pPr algn="ctr"/>
            <a:t>₹ 3,520.98</a:t>
          </a:fld>
          <a:endParaRPr lang="en-US" sz="18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Avg.</a:t>
          </a:r>
          <a:r>
            <a:rPr lang="en-US" sz="1800" b="1" i="0" u="none" strike="noStrike" baseline="0">
              <a:solidFill>
                <a:srgbClr val="000000"/>
              </a:solidFill>
              <a:latin typeface="Calibri"/>
              <a:ea typeface="Calibri"/>
              <a:cs typeface="Calibri"/>
            </a:rPr>
            <a:t> Customer's spent</a:t>
          </a:r>
          <a:endParaRPr lang="en-IN" sz="1800" b="1"/>
        </a:p>
      </xdr:txBody>
    </xdr:sp>
    <xdr:clientData/>
  </xdr:twoCellAnchor>
  <xdr:twoCellAnchor>
    <xdr:from>
      <xdr:col>13</xdr:col>
      <xdr:colOff>445762</xdr:colOff>
      <xdr:row>2</xdr:row>
      <xdr:rowOff>21432</xdr:rowOff>
    </xdr:from>
    <xdr:to>
      <xdr:col>16</xdr:col>
      <xdr:colOff>527201</xdr:colOff>
      <xdr:row>6</xdr:row>
      <xdr:rowOff>175260</xdr:rowOff>
    </xdr:to>
    <xdr:sp macro="" textlink="Sheet1!F2">
      <xdr:nvSpPr>
        <xdr:cNvPr id="10" name="Rectangle: Rounded Corners 9">
          <a:extLst>
            <a:ext uri="{FF2B5EF4-FFF2-40B4-BE49-F238E27FC236}">
              <a16:creationId xmlns:a16="http://schemas.microsoft.com/office/drawing/2014/main" id="{2EC27D5D-942F-4A2D-9EC5-2FBD60CB1945}"/>
            </a:ext>
          </a:extLst>
        </xdr:cNvPr>
        <xdr:cNvSpPr/>
      </xdr:nvSpPr>
      <xdr:spPr>
        <a:xfrm>
          <a:off x="8393599" y="393572"/>
          <a:ext cx="1915555" cy="898107"/>
        </a:xfrm>
        <a:prstGeom prst="round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B52E4E-61DA-45CE-9EA7-010C1BE335CD}" type="TxLink">
            <a:rPr lang="en-US" sz="1800" b="1" i="0" u="none" strike="noStrike">
              <a:solidFill>
                <a:srgbClr val="000000"/>
              </a:solidFill>
              <a:latin typeface="Calibri"/>
              <a:ea typeface="Calibri"/>
              <a:cs typeface="Calibri"/>
            </a:rPr>
            <a:pPr algn="ctr"/>
            <a:t>5.53</a:t>
          </a:fld>
          <a:r>
            <a:rPr lang="en-US" sz="1800" b="1" i="0" u="none" strike="noStrike">
              <a:solidFill>
                <a:srgbClr val="000000"/>
              </a:solidFill>
              <a:latin typeface="Calibri"/>
              <a:ea typeface="Calibri"/>
              <a:cs typeface="Calibri"/>
            </a:rPr>
            <a:t> </a:t>
          </a:r>
        </a:p>
        <a:p>
          <a:pPr algn="ctr"/>
          <a:r>
            <a:rPr lang="en-US" sz="1800" b="1" i="0" u="none" strike="noStrike">
              <a:solidFill>
                <a:srgbClr val="000000"/>
              </a:solidFill>
              <a:latin typeface="Calibri"/>
              <a:ea typeface="Calibri"/>
              <a:cs typeface="Calibri"/>
            </a:rPr>
            <a:t>Order-Delivery</a:t>
          </a:r>
          <a:r>
            <a:rPr lang="en-US" sz="1800" b="1" i="0" u="none" strike="noStrike" baseline="0">
              <a:solidFill>
                <a:srgbClr val="000000"/>
              </a:solidFill>
              <a:latin typeface="Calibri"/>
              <a:ea typeface="Calibri"/>
              <a:cs typeface="Calibri"/>
            </a:rPr>
            <a:t> Time</a:t>
          </a:r>
        </a:p>
      </xdr:txBody>
    </xdr:sp>
    <xdr:clientData/>
  </xdr:twoCellAnchor>
  <xdr:twoCellAnchor>
    <xdr:from>
      <xdr:col>9</xdr:col>
      <xdr:colOff>525297</xdr:colOff>
      <xdr:row>1</xdr:row>
      <xdr:rowOff>183118</xdr:rowOff>
    </xdr:from>
    <xdr:to>
      <xdr:col>13</xdr:col>
      <xdr:colOff>16662</xdr:colOff>
      <xdr:row>6</xdr:row>
      <xdr:rowOff>157544</xdr:rowOff>
    </xdr:to>
    <xdr:sp macro="" textlink="Sheet1!E2">
      <xdr:nvSpPr>
        <xdr:cNvPr id="11" name="Rectangle: Rounded Corners 10">
          <a:extLst>
            <a:ext uri="{FF2B5EF4-FFF2-40B4-BE49-F238E27FC236}">
              <a16:creationId xmlns:a16="http://schemas.microsoft.com/office/drawing/2014/main" id="{F109FAE7-FFCB-4FE0-814C-14F4826DF5FA}"/>
            </a:ext>
          </a:extLst>
        </xdr:cNvPr>
        <xdr:cNvSpPr/>
      </xdr:nvSpPr>
      <xdr:spPr>
        <a:xfrm>
          <a:off x="6027646" y="369188"/>
          <a:ext cx="1936853" cy="904775"/>
        </a:xfrm>
        <a:prstGeom prst="round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CF3BB3-E369-403C-A329-9419AF24D7F7}" type="TxLink">
            <a:rPr lang="en-US" sz="1800" b="1" i="0" u="none" strike="noStrike">
              <a:solidFill>
                <a:srgbClr val="000000"/>
              </a:solidFill>
              <a:latin typeface="Calibri"/>
              <a:ea typeface="Calibri"/>
              <a:cs typeface="Calibri"/>
            </a:rPr>
            <a:pPr algn="ctr"/>
            <a:t>₹ 35,20,984.00</a:t>
          </a:fld>
          <a:endParaRPr lang="en-US" sz="18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Total</a:t>
          </a:r>
          <a:r>
            <a:rPr lang="en-US" sz="1800" b="1" i="0" u="none" strike="noStrike" baseline="0">
              <a:solidFill>
                <a:srgbClr val="000000"/>
              </a:solidFill>
              <a:latin typeface="Calibri"/>
              <a:ea typeface="Calibri"/>
              <a:cs typeface="Calibri"/>
            </a:rPr>
            <a:t> Revenue</a:t>
          </a:r>
          <a:endParaRPr lang="en-IN" sz="1800" b="1"/>
        </a:p>
      </xdr:txBody>
    </xdr:sp>
    <xdr:clientData/>
  </xdr:twoCellAnchor>
  <xdr:twoCellAnchor editAs="oneCell">
    <xdr:from>
      <xdr:col>21</xdr:col>
      <xdr:colOff>32520</xdr:colOff>
      <xdr:row>21</xdr:row>
      <xdr:rowOff>131026</xdr:rowOff>
    </xdr:from>
    <xdr:to>
      <xdr:col>26</xdr:col>
      <xdr:colOff>99934</xdr:colOff>
      <xdr:row>38</xdr:row>
      <xdr:rowOff>99934</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FDCEE268-68FC-476C-9F0E-63DE4EAEAC5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879197" y="3962491"/>
              <a:ext cx="2677223" cy="2671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17668</xdr:colOff>
      <xdr:row>2</xdr:row>
      <xdr:rowOff>7708</xdr:rowOff>
    </xdr:from>
    <xdr:to>
      <xdr:col>26</xdr:col>
      <xdr:colOff>13139</xdr:colOff>
      <xdr:row>10</xdr:row>
      <xdr:rowOff>2138</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9861FC8E-EAF9-3244-FB6E-9BCBF7C5D55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864344" y="372609"/>
              <a:ext cx="3054203" cy="14540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16283</xdr:colOff>
      <xdr:row>11</xdr:row>
      <xdr:rowOff>107550</xdr:rowOff>
    </xdr:from>
    <xdr:to>
      <xdr:col>26</xdr:col>
      <xdr:colOff>26274</xdr:colOff>
      <xdr:row>19</xdr:row>
      <xdr:rowOff>118240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EA552D48-2C9D-D805-A584-98BFC06C5B5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862959" y="2114508"/>
              <a:ext cx="3068723" cy="14702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83820</xdr:colOff>
      <xdr:row>2</xdr:row>
      <xdr:rowOff>18575</xdr:rowOff>
    </xdr:from>
    <xdr:to>
      <xdr:col>5</xdr:col>
      <xdr:colOff>236220</xdr:colOff>
      <xdr:row>6</xdr:row>
      <xdr:rowOff>175261</xdr:rowOff>
    </xdr:to>
    <xdr:sp macro="" textlink="">
      <xdr:nvSpPr>
        <xdr:cNvPr id="16" name="Rectangle: Rounded Corners 15">
          <a:extLst>
            <a:ext uri="{FF2B5EF4-FFF2-40B4-BE49-F238E27FC236}">
              <a16:creationId xmlns:a16="http://schemas.microsoft.com/office/drawing/2014/main" id="{F8D39694-95E8-4075-A905-3927C00B6ADC}"/>
            </a:ext>
          </a:extLst>
        </xdr:cNvPr>
        <xdr:cNvSpPr/>
      </xdr:nvSpPr>
      <xdr:spPr>
        <a:xfrm>
          <a:off x="83820" y="384335"/>
          <a:ext cx="3200400" cy="888206"/>
        </a:xfrm>
        <a:prstGeom prst="roundRect">
          <a:avLst/>
        </a:prstGeom>
        <a:solidFill>
          <a:srgbClr val="00B0F0"/>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           Sales</a:t>
          </a:r>
          <a:r>
            <a:rPr lang="en-US" sz="2800" b="1" baseline="0">
              <a:solidFill>
                <a:schemeClr val="tx1"/>
              </a:solidFill>
            </a:rPr>
            <a:t> Analysis</a:t>
          </a:r>
          <a:endParaRPr lang="en-US" sz="2800" b="1">
            <a:solidFill>
              <a:schemeClr val="tx1"/>
            </a:solidFill>
          </a:endParaRPr>
        </a:p>
      </xdr:txBody>
    </xdr:sp>
    <xdr:clientData/>
  </xdr:twoCellAnchor>
  <xdr:twoCellAnchor editAs="oneCell">
    <xdr:from>
      <xdr:col>0</xdr:col>
      <xdr:colOff>131445</xdr:colOff>
      <xdr:row>2</xdr:row>
      <xdr:rowOff>90010</xdr:rowOff>
    </xdr:from>
    <xdr:to>
      <xdr:col>1</xdr:col>
      <xdr:colOff>196624</xdr:colOff>
      <xdr:row>6</xdr:row>
      <xdr:rowOff>45720</xdr:rowOff>
    </xdr:to>
    <xdr:pic>
      <xdr:nvPicPr>
        <xdr:cNvPr id="18" name="Picture 17">
          <a:extLst>
            <a:ext uri="{FF2B5EF4-FFF2-40B4-BE49-F238E27FC236}">
              <a16:creationId xmlns:a16="http://schemas.microsoft.com/office/drawing/2014/main" id="{E498E764-ED1E-9243-BDD7-5F3038AFA90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1445" y="455770"/>
          <a:ext cx="674779" cy="687230"/>
        </a:xfrm>
        <a:prstGeom prst="rect">
          <a:avLst/>
        </a:prstGeom>
        <a:solidFill>
          <a:srgbClr val="00B0F0"/>
        </a:solidFill>
        <a:ln>
          <a:solidFill>
            <a:srgbClr val="00B0F0"/>
          </a:solidFill>
        </a:ln>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0.759201851855" backgroundQuery="1" createdVersion="8" refreshedVersion="8" minRefreshableVersion="3" recordCount="0" supportSubquery="1" supportAdvancedDrill="1" xr:uid="{0232951D-EB1D-4422-A3F5-965407A87B27}">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7.55922372685" backgroundQuery="1" createdVersion="8" refreshedVersion="8" minRefreshableVersion="3" recordCount="0" supportSubquery="1" supportAdvancedDrill="1" xr:uid="{3E33A584-96B8-49EF-8AAD-2BF1250ECD5B}">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7.559227314814" backgroundQuery="1" createdVersion="8" refreshedVersion="8" minRefreshableVersion="3" recordCount="0" supportSubquery="1" supportAdvancedDrill="1" xr:uid="{905F7A6D-3C5B-4775-8DD0-65A9A2FDC61C}">
  <cacheSource type="external" connectionId="9"/>
  <cacheFields count="3">
    <cacheField name="[customers].[Gender].[Gender]" caption="Gender" numFmtId="0" hierarchy="5" level="1">
      <sharedItems count="2">
        <s v="Female"/>
        <s v="Male"/>
      </sharedItems>
    </cacheField>
    <cacheField name="[Measures].[Sum of Revenue]" caption="Sum of Revenue" numFmtId="0" hierarchy="37"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7.559228587961" backgroundQuery="1" createdVersion="8" refreshedVersion="8" minRefreshableVersion="3" recordCount="0" supportSubquery="1" supportAdvancedDrill="1" xr:uid="{15B0ACC5-650A-4E1A-B56C-5A3715577ABB}">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7.559230439816" backgroundQuery="1" createdVersion="8" refreshedVersion="8" minRefreshableVersion="3" recordCount="0" supportSubquery="1" supportAdvancedDrill="1" xr:uid="{E6379A1D-D2F4-4963-9F64-DC0BF0496307}">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7.559231481478" backgroundQuery="1" createdVersion="8" refreshedVersion="8" minRefreshableVersion="3" recordCount="0" supportSubquery="1" supportAdvancedDrill="1" xr:uid="{C3618D9E-3C9F-4B9C-8BD4-75E3AA79375D}">
  <cacheSource type="external" connectionId="9"/>
  <cacheFields count="5">
    <cacheField name="[Measures].[Average of diff_order_delivery]" caption="Average of diff_order_delivery" numFmtId="0" hierarchy="39" level="32767"/>
    <cacheField name="[Measures].[Sum of Revenue]" caption="Sum of Revenue" numFmtId="0" hierarchy="37" level="32767"/>
    <cacheField name="[Measures].[Average of Revenue]" caption="Average of Revenue" numFmtId="0" hierarchy="41" level="32767"/>
    <cacheField name="[Measures].[Count of Order_ID]" caption="Count of Order_ID" numFmtId="0" hierarchy="43"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7.55923402778" backgroundQuery="1" createdVersion="8" refreshedVersion="8" minRefreshableVersion="3" recordCount="0" supportSubquery="1" supportAdvancedDrill="1" xr:uid="{6541AEC9-CE00-425A-8338-125BFA2F1579}">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7.559236458335" backgroundQuery="1" createdVersion="8" refreshedVersion="8" minRefreshableVersion="3" recordCount="0" supportSubquery="1" supportAdvancedDrill="1" xr:uid="{2A5DA217-EF9A-4090-882C-A856C8658000}">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New folder" uniqueName="[New folder]" caption="New folder"/>
    <dimension name="orders" uniqueName="[orders]" caption="orders"/>
    <dimension name="products" uniqueName="[products]" caption="products"/>
  </dimensions>
  <measureGroups count="4">
    <measureGroup name="customers" caption="customers"/>
    <measureGroup name="New folder" caption="New folder"/>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0.759187037038" backgroundQuery="1" createdVersion="3" refreshedVersion="8" minRefreshableVersion="3" recordCount="0" supportSubquery="1" supportAdvancedDrill="1" xr:uid="{DC682230-94D0-469D-918E-77E69D6B897C}">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7882285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RAV" refreshedDate="46160.759187615738" backgroundQuery="1" createdVersion="3" refreshedVersion="8" minRefreshableVersion="3" recordCount="0" supportSubquery="1" supportAdvancedDrill="1" xr:uid="{A2CC75FF-94F4-4939-B4C7-CBA825465324}">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folder].[Content]" caption="Content" attribute="1" defaultMemberUniqueName="[New folder].[Content].[All]" allUniqueName="[New folder].[Content].[All]" dimensionUniqueName="[New folder]" displayFolder="" count="0" memberValueDatatype="130" unbalanced="0"/>
    <cacheHierarchy uniqueName="[New folder].[Name]" caption="Name" attribute="1" defaultMemberUniqueName="[New folder].[Name].[All]" allUniqueName="[New folder].[Name].[All]" dimensionUniqueName="[New folder]" displayFolder="" count="0" memberValueDatatype="130" unbalanced="0"/>
    <cacheHierarchy uniqueName="[New folder].[Extension]" caption="Extension" attribute="1" defaultMemberUniqueName="[New folder].[Extension].[All]" allUniqueName="[New folder].[Extension].[All]" dimensionUniqueName="[New folder]" displayFolder="" count="0" memberValueDatatype="130" unbalanced="0"/>
    <cacheHierarchy uniqueName="[New folder].[Date accessed]" caption="Date accessed" attribute="1" time="1" defaultMemberUniqueName="[New folder].[Date accessed].[All]" allUniqueName="[New folder].[Date accessed].[All]" dimensionUniqueName="[New folder]" displayFolder="" count="0" memberValueDatatype="7" unbalanced="0"/>
    <cacheHierarchy uniqueName="[New folder].[Date modified]" caption="Date modified" attribute="1" time="1" defaultMemberUniqueName="[New folder].[Date modified].[All]" allUniqueName="[New folder].[Date modified].[All]" dimensionUniqueName="[New folder]" displayFolder="" count="0" memberValueDatatype="7" unbalanced="0"/>
    <cacheHierarchy uniqueName="[New folder].[Date created]" caption="Date created" attribute="1" time="1" defaultMemberUniqueName="[New folder].[Date created].[All]" allUniqueName="[New folder].[Date created].[All]" dimensionUniqueName="[New folder]" displayFolder="" count="0" memberValueDatatype="7" unbalanced="0"/>
    <cacheHierarchy uniqueName="[New folder].[Folder Path]" caption="Folder Path" attribute="1" defaultMemberUniqueName="[New folder].[Folder Path].[All]" allUniqueName="[New folder].[Folder Path].[All]" dimensionUniqueName="[New fold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extLst>
        <ext xmlns:x15="http://schemas.microsoft.com/office/spreadsheetml/2010/11/main" uri="{B97F6D7D-B522-45F9-BDA1-12C45D357490}">
          <x15:cacheHierarchy aggregatedColumn="27"/>
        </ext>
      </extLst>
    </cacheHierarchy>
    <cacheHierarchy uniqueName="[Measures].[Count of Hour (Order Time)]" caption="Count of Hour (Order Time)" measure="1" displayFolder="" measureGroup="orders" count="0">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New folder]" caption="__XL_Count New folder" measure="1" displayFolder="" measureGroup="New folder"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477106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57443-1976-4A2C-8E21-BD8A694C3571}" name="PivotTable1" cacheId="15" applyNumberFormats="0" applyBorderFormats="0" applyFontFormats="0" applyPatternFormats="0" applyAlignmentFormats="0" applyWidthHeightFormats="1" dataCaption="Values" tag="ace9c9d4-6436-4b20-b288-d1b28f5093ac" updatedVersion="8" minRefreshableVersion="5" useAutoFormatting="1" subtotalHiddenItems="1" itemPrintTitles="1" createdVersion="8"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B70635-D52C-4976-BED1-8710E53536CA}" name="PivotTable5" cacheId="27" applyNumberFormats="0" applyBorderFormats="0" applyFontFormats="0" applyPatternFormats="0" applyAlignmentFormats="0" applyWidthHeightFormats="1" dataCaption="Values" tag="df8af1b1-d1dc-4281-ac7c-943809be7fbf" updatedVersion="8" minRefreshableVersion="5" useAutoFormatting="1" subtotalHiddenItems="1" itemPrintTitles="1" createdVersion="8" indent="0" outline="1" outlineData="1" multipleFieldFilters="0" chartFormat="6">
  <location ref="A23:B3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C630F3-C960-4384-AD7B-6723735BE2D3}" name="PivotTable2" cacheId="21" applyNumberFormats="0" applyBorderFormats="0" applyFontFormats="0" applyPatternFormats="0" applyAlignmentFormats="0" applyWidthHeightFormats="1" dataCaption="Values" tag="0348ab2b-7a52-42a6-b531-7be1065c2e6e" updatedVersion="8" minRefreshableVersion="5" useAutoFormatting="1" subtotalHiddenItems="1" itemPrintTitles="1" createdVersion="8" indent="0" outline="1" outlineData="1" multipleFieldFilters="0" chartFormat="8">
  <location ref="A6:B19"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6F6771-7831-40E5-8E05-6B77E2FAFB04}" name="PivotTable4" cacheId="12" applyNumberFormats="0" applyBorderFormats="0" applyFontFormats="0" applyPatternFormats="0" applyAlignmentFormats="0" applyWidthHeightFormats="1" dataCaption="Values" tag="bd22507e-1637-47a2-b9b3-da3c2d7ca36d" updatedVersion="8" minRefreshableVersion="5" useAutoFormatting="1" subtotalHiddenItems="1" itemPrintTitles="1" createdVersion="8" indent="0" outline="1" outlineData="1" multipleFieldFilters="0" chartFormat="8">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749E72-B440-4C94-A07A-767CB72EE604}" name="PivotTable6" cacheId="30" applyNumberFormats="0" applyBorderFormats="0" applyFontFormats="0" applyPatternFormats="0" applyAlignmentFormats="0" applyWidthHeightFormats="1" dataCaption="Values" tag="89202aa7-4d42-49c6-9792-87ac0e674991" updatedVersion="8" minRefreshableVersion="5" useAutoFormatting="1" subtotalHiddenItems="1" itemPrintTitles="1" createdVersion="8" indent="0" outline="1" outlineData="1" multipleFieldFilters="0" chartFormat="6">
  <location ref="D16:E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8BD547-088B-40BA-9C7E-3A666C3D391E}" name="PivotTable3" cacheId="24" applyNumberFormats="0" applyBorderFormats="0" applyFontFormats="0" applyPatternFormats="0" applyAlignmentFormats="0" applyWidthHeightFormats="1" dataCaption="Values" tag="827fe77e-def9-4cb8-b8a4-e62c3c911dc9" updatedVersion="8" minRefreshableVersion="5" subtotalHiddenItems="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1" baseField="0" baseItem="1"/>
    <dataField name="Average of diff_order_delivery" fld="0" subtotal="average" baseField="0" baseItem="0"/>
    <dataField name="Average of Customer Spending " fld="2" subtotal="average" baseField="0" baseItem="2"/>
    <dataField name="Total Ordesr Placed " fld="3" subtotal="count" baseField="0" baseItem="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caption="Count of Revenue"/>
    <pivotHierarchy dragToData="1" caption="Average of Customer Spending "/>
    <pivotHierarchy dragToData="1"/>
    <pivotHierarchy dragToData="1" caption="Total Ordesr Placed "/>
    <pivotHierarchy dragToData="1"/>
    <pivotHierarchy dragToData="1"/>
    <pivotHierarchy dragToData="1"/>
    <pivotHierarchy dragToData="1" caption="Average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1831CE-2151-40B8-8708-763894216258}" name="PivotTable10" cacheId="18" applyNumberFormats="0" applyBorderFormats="0" applyFontFormats="0" applyPatternFormats="0" applyAlignmentFormats="0" applyWidthHeightFormats="1" dataCaption="Values" tag="06c5b7f4-3b5c-4d01-a751-727e475070f4" updatedVersion="8" minRefreshableVersion="5" useAutoFormatting="1" subtotalHiddenItems="1" itemPrintTitles="1" createdVersion="8" indent="0" outline="1" outlineData="1" multipleFieldFilters="0" chartFormat="15">
  <location ref="C34:D5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0C326B-4CCF-4DBA-811E-8552A17C1B24}" name="PivotTable7" cacheId="0" applyNumberFormats="0" applyBorderFormats="0" applyFontFormats="0" applyPatternFormats="0" applyAlignmentFormats="0" applyWidthHeightFormats="1" dataCaption="Values" tag="99c7d3c1-1214-498a-8a8e-d4a8bf038c38" updatedVersion="8" minRefreshableVersion="5" useAutoFormatting="1" subtotalHiddenItems="1" itemPrintTitles="1" createdVersion="8" indent="0" outline="1" outlineData="1" multipleFieldFilters="0" chartFormat="8">
  <location ref="H7:I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3A08C00-0CD4-4F9D-9306-C3B910ACC98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New fold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80619C8-15C9-47EA-A2D8-388598F5C9C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3D1D486-DEBA-4E22-B442-AA62F8964A2A}"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8" name="Revenue" tableColumnId="18"/>
      <queryTableField id="19" name="Day Name (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96E81A3-35EE-46A9-87DB-026668AF587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7F75FD0-C9D9-473A-9B1C-F06D664803A5}" sourceName="[orders].[Occasion]">
  <pivotTables>
    <pivotTable tabId="9" name="PivotTable4"/>
    <pivotTable tabId="9" name="PivotTable1"/>
    <pivotTable tabId="9" name="PivotTable10"/>
    <pivotTable tabId="9" name="PivotTable2"/>
    <pivotTable tabId="9" name="PivotTable3"/>
    <pivotTable tabId="9" name="PivotTable5"/>
    <pivotTable tabId="9" name="PivotTable6"/>
  </pivotTables>
  <data>
    <olap pivotCacheId="147882285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FA491DC-DD98-4C04-A942-F2E9057FF1B7}"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C961E4-CEC7-4A2D-A5AA-0BCE1DDBF081}" name="New_folder" displayName="New_folder" ref="A1:F4" tableType="queryTable" totalsRowShown="0">
  <autoFilter ref="A1:F4" xr:uid="{69C961E4-CEC7-4A2D-A5AA-0BCE1DDBF081}"/>
  <tableColumns count="6">
    <tableColumn id="1" xr3:uid="{2F8ED487-DC77-4134-8D2A-2CB70E7894A8}" uniqueName="1" name="Name" queryTableFieldId="1" dataDxfId="23"/>
    <tableColumn id="2" xr3:uid="{DD2C7427-6381-40DD-B8E0-6D107072050A}" uniqueName="2" name="Extension" queryTableFieldId="2" dataDxfId="22"/>
    <tableColumn id="3" xr3:uid="{13CC19B9-D738-4AF2-BE5C-2273420E97A5}" uniqueName="3" name="Date accessed" queryTableFieldId="3" dataDxfId="21"/>
    <tableColumn id="4" xr3:uid="{D4B5E995-3056-4D16-B397-E996F6735567}" uniqueName="4" name="Date modified" queryTableFieldId="4" dataDxfId="20"/>
    <tableColumn id="5" xr3:uid="{9FAEB99F-5D99-49CB-B865-0B57A6BBA2A9}" uniqueName="5" name="Date created" queryTableFieldId="5" dataDxfId="19"/>
    <tableColumn id="6" xr3:uid="{CDB39E7F-800C-446D-A0F4-2AC67DA8FBD6}"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9034B4-B412-4C91-880D-EEDEDD9BFB61}" name="customers" displayName="customers" ref="A1:G101" tableType="queryTable" totalsRowShown="0">
  <autoFilter ref="A1:G101" xr:uid="{7C9034B4-B412-4C91-880D-EEDEDD9BFB61}"/>
  <tableColumns count="7">
    <tableColumn id="1" xr3:uid="{07FA13EF-5538-4708-A5AF-62811A65CAFB}" uniqueName="1" name="Customer_ID" queryTableFieldId="1" dataDxfId="17"/>
    <tableColumn id="2" xr3:uid="{74ADB845-9B5D-43BF-A9A7-C5996A2E9FF1}" uniqueName="2" name="Name" queryTableFieldId="2" dataDxfId="16"/>
    <tableColumn id="3" xr3:uid="{00E2D92B-D29D-4EDC-9CBE-0BEBD7E5875F}" uniqueName="3" name="City" queryTableFieldId="3" dataDxfId="15"/>
    <tableColumn id="4" xr3:uid="{47306331-CA25-4FAA-A3CF-BAC9A5F33983}" uniqueName="4" name="Contact_Number" queryTableFieldId="4" dataDxfId="14"/>
    <tableColumn id="5" xr3:uid="{BBF9A671-F9F1-4003-A687-14BA61F07681}" uniqueName="5" name="Email" queryTableFieldId="5" dataDxfId="13"/>
    <tableColumn id="6" xr3:uid="{54D1C2D8-4E3C-426D-8838-34FEB843D187}" uniqueName="6" name="Gender" queryTableFieldId="6" dataDxfId="12"/>
    <tableColumn id="7" xr3:uid="{D774EE26-9496-4CC0-B658-4D12DC9261E2}"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E2A516-9C5A-4DCE-9A0F-8AA41510D9D8}" name="orders" displayName="orders" ref="A1:Q1001" tableType="queryTable" totalsRowShown="0">
  <autoFilter ref="A1:Q1001" xr:uid="{02E2A516-9C5A-4DCE-9A0F-8AA41510D9D8}"/>
  <tableColumns count="17">
    <tableColumn id="1" xr3:uid="{0F7F141C-1F5B-4B10-AE80-2C5EBF3BB812}" uniqueName="1" name="Order_ID" queryTableFieldId="1"/>
    <tableColumn id="2" xr3:uid="{45F8560A-0C0E-4898-9275-C75A5081801B}" uniqueName="2" name="Customer_ID" queryTableFieldId="2" dataDxfId="10"/>
    <tableColumn id="3" xr3:uid="{B5752EBC-C8BD-4101-BCAC-84F1C9F0DB45}" uniqueName="3" name="Product_ID" queryTableFieldId="3"/>
    <tableColumn id="4" xr3:uid="{8339A70E-B743-4003-9322-8CD810B487E0}" uniqueName="4" name="Quantity" queryTableFieldId="4"/>
    <tableColumn id="5" xr3:uid="{4172FA41-8F25-4202-8B5E-E6EF21B954B0}" uniqueName="5" name="Order_Date" queryTableFieldId="5" dataDxfId="9"/>
    <tableColumn id="6" xr3:uid="{925AD6CA-1857-4B9C-8F43-F9D07D79F4E5}" uniqueName="6" name="Order_Time" queryTableFieldId="6" dataDxfId="8"/>
    <tableColumn id="7" xr3:uid="{E54815A8-68E6-4FD2-83D4-50E2E427D738}" uniqueName="7" name="Delivery_Date" queryTableFieldId="7" dataDxfId="7"/>
    <tableColumn id="8" xr3:uid="{10C79CAC-B1F8-46D0-806B-30D1FBA76C96}" uniqueName="8" name="Delivery_Time" queryTableFieldId="8" dataDxfId="6"/>
    <tableColumn id="9" xr3:uid="{D05501AA-44FE-4D6F-A527-172888AA5B7E}" uniqueName="9" name="Location" queryTableFieldId="9" dataDxfId="5"/>
    <tableColumn id="10" xr3:uid="{E1004AD2-CC15-4FC1-BB91-316F3E50FBA4}" uniqueName="10" name="Occasion" queryTableFieldId="10" dataDxfId="4"/>
    <tableColumn id="11" xr3:uid="{52D5BC23-09A3-4195-89AD-3F27B8BA22B9}" uniqueName="11" name="Month Name" queryTableFieldId="11" dataDxfId="3"/>
    <tableColumn id="12" xr3:uid="{E55090B6-C3FB-46C7-835A-ED3C7B8A6CDB}" uniqueName="12" name="Hour (Order Time)" queryTableFieldId="12"/>
    <tableColumn id="13" xr3:uid="{EA7923D0-C44A-46EE-AB34-F13C7F18DE8C}" uniqueName="13" name="diff_order_delivery" queryTableFieldId="13"/>
    <tableColumn id="14" xr3:uid="{F0B60018-7FE3-4870-B2B6-81ED563DFAA3}" uniqueName="14" name="Hour (Delivery Time)" queryTableFieldId="14"/>
    <tableColumn id="15" xr3:uid="{AE9B9F7B-FC39-4638-B62D-AC2370209DFE}" uniqueName="15" name="Price (INR)" queryTableFieldId="15"/>
    <tableColumn id="18" xr3:uid="{8E288478-0B46-4C9E-ADFD-C6EFA3D01D09}" uniqueName="18" name="Revenue" queryTableFieldId="18"/>
    <tableColumn id="19" xr3:uid="{9F82AE2B-3DE4-460F-925E-1E83FB77B4B4}" uniqueName="19" name="Day Name (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C82075-8577-4191-AB9E-AC437E043CC7}" name="products" displayName="products" ref="A1:E71" tableType="queryTable" totalsRowShown="0">
  <autoFilter ref="A1:E71" xr:uid="{9DC82075-8577-4191-AB9E-AC437E043CC7}"/>
  <tableColumns count="5">
    <tableColumn id="1" xr3:uid="{194912F0-EBC4-4DE9-BC66-AC70C2224C24}" uniqueName="1" name="Product_ID" queryTableFieldId="1"/>
    <tableColumn id="2" xr3:uid="{23BC9DBF-62E4-4EB2-BAA9-7089DA9298C7}" uniqueName="2" name="Product_Name" queryTableFieldId="2" dataDxfId="2"/>
    <tableColumn id="3" xr3:uid="{0DD59009-C44D-4B83-827D-8611F87CA0F0}" uniqueName="3" name="Category" queryTableFieldId="3" dataDxfId="1"/>
    <tableColumn id="4" xr3:uid="{D78E5C66-8A6D-4B62-A1AA-338E4AA54098}" uniqueName="4" name="Price (INR)" queryTableFieldId="4"/>
    <tableColumn id="5" xr3:uid="{EA89816E-B5E9-4918-8118-0EFDC93FA15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DD6C30B-B514-45E9-9F31-F6C5626CDC17}" sourceName="[orders].[Delivery_Date]">
  <pivotTables>
    <pivotTable tabId="9" name="PivotTable5"/>
    <pivotTable tabId="9" name="PivotTable1"/>
    <pivotTable tabId="9" name="PivotTable10"/>
    <pivotTable tabId="9" name="PivotTable2"/>
    <pivotTable tabId="9" name="PivotTable3"/>
    <pivotTable tabId="9" name="PivotTable4"/>
    <pivotTable tabId="9" name="PivotTable6"/>
    <pivotTable tabId="9" name="PivotTable7"/>
  </pivotTables>
  <state minimalRefreshVersion="6" lastRefreshVersion="6" pivotCacheId="1247710656"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978E742-12B0-454A-AE3B-49901043742A}" sourceName="[orders].[Order_Date]">
  <pivotTables>
    <pivotTable tabId="9" name="PivotTable1"/>
    <pivotTable tabId="9" name="PivotTable2"/>
    <pivotTable tabId="9" name="PivotTable3"/>
    <pivotTable tabId="9" name="PivotTable4"/>
    <pivotTable tabId="9" name="PivotTable5"/>
    <pivotTable tabId="9" name="PivotTable6"/>
    <pivotTable tabId="9" name="PivotTable7"/>
    <pivotTable tabId="9" name="PivotTable10"/>
  </pivotTables>
  <state minimalRefreshVersion="6" lastRefreshVersion="6" pivotCacheId="124771065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27B54761-DF03-442A-BE18-4EC84C00D740}" cache="Timeline_Delivery_Date" caption="Delivery_Date" level="2" selectionLevel="2" scrollPosition="2024-06-05T00:00:00" style="TimeSlicerStyleLight5"/>
  <timeline name="Order_Date" xr10:uid="{C6C991BE-48C3-4659-A187-D40F09B7161C}" cache="Timeline_Order_Date" caption="Order_Date" level="3" selectionLevel="3" scrollPosition="2023-12-10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5169B-0E56-4237-A865-931CC9038283}">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3.109375" bestFit="1" customWidth="1"/>
  </cols>
  <sheetData>
    <row r="1" spans="1:6" x14ac:dyDescent="0.3">
      <c r="A1" t="s">
        <v>0</v>
      </c>
      <c r="B1" t="s">
        <v>1</v>
      </c>
      <c r="C1" t="s">
        <v>2</v>
      </c>
      <c r="D1" t="s">
        <v>3</v>
      </c>
      <c r="E1" t="s">
        <v>4</v>
      </c>
      <c r="F1" t="s">
        <v>5</v>
      </c>
    </row>
    <row r="2" spans="1:6" x14ac:dyDescent="0.3">
      <c r="A2" t="s">
        <v>6</v>
      </c>
      <c r="B2" t="s">
        <v>7</v>
      </c>
      <c r="C2" s="1">
        <v>46160.639876427471</v>
      </c>
      <c r="D2" s="1">
        <v>46159.768831134257</v>
      </c>
      <c r="E2" s="1">
        <v>46159.768825925923</v>
      </c>
      <c r="F2" t="s">
        <v>8</v>
      </c>
    </row>
    <row r="3" spans="1:6" x14ac:dyDescent="0.3">
      <c r="A3" t="s">
        <v>9</v>
      </c>
      <c r="B3" t="s">
        <v>7</v>
      </c>
      <c r="C3" s="1">
        <v>46160.638203665127</v>
      </c>
      <c r="D3" s="1">
        <v>46159.768906790123</v>
      </c>
      <c r="E3" s="1">
        <v>46159.768902816359</v>
      </c>
      <c r="F3" t="s">
        <v>8</v>
      </c>
    </row>
    <row r="4" spans="1:6" x14ac:dyDescent="0.3">
      <c r="A4" t="s">
        <v>10</v>
      </c>
      <c r="B4" t="s">
        <v>7</v>
      </c>
      <c r="C4" s="1">
        <v>46160.63858939043</v>
      </c>
      <c r="D4" s="1">
        <v>46159.770446334878</v>
      </c>
      <c r="E4" s="1">
        <v>46159.768988580247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F54F-8A9E-4D27-9BED-59829528D9CD}">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664C-7240-4F99-AAB6-80F3C139CB6E}">
  <dimension ref="A1:Q1001"/>
  <sheetViews>
    <sheetView topLeftCell="H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5546875" bestFit="1" customWidth="1"/>
    <col min="14" max="14" width="20.6640625" bestFit="1" customWidth="1"/>
    <col min="15" max="15" width="12.109375" bestFit="1" customWidth="1"/>
    <col min="16" max="16" width="10.5546875" bestFit="1" customWidth="1"/>
    <col min="17" max="17" width="23" bestFit="1" customWidth="1"/>
    <col min="18" max="18" width="5.33203125" bestFit="1" customWidth="1"/>
    <col min="19" max="19" width="6.441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FD09-8D45-415D-BBF0-BFBFB6A86D22}">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CF4FD-4139-4D45-8F9F-8ABFA0CD68C8}">
  <dimension ref="A1:L59"/>
  <sheetViews>
    <sheetView zoomScale="70" workbookViewId="0">
      <selection activeCell="AH21" sqref="AH21"/>
    </sheetView>
  </sheetViews>
  <sheetFormatPr defaultRowHeight="14.4" x14ac:dyDescent="0.3"/>
  <cols>
    <col min="1" max="1" width="15.77734375" bestFit="1" customWidth="1"/>
    <col min="2" max="2" width="15.33203125" bestFit="1" customWidth="1"/>
    <col min="3" max="3" width="13.88671875" bestFit="1" customWidth="1"/>
    <col min="4" max="4" width="14.21875" bestFit="1" customWidth="1"/>
    <col min="5" max="5" width="17.109375" bestFit="1" customWidth="1"/>
    <col min="6" max="6" width="15.33203125" bestFit="1" customWidth="1"/>
    <col min="7" max="7" width="29" bestFit="1" customWidth="1"/>
    <col min="8" max="8" width="15.77734375" bestFit="1" customWidth="1"/>
    <col min="9" max="9" width="15.33203125" bestFit="1" customWidth="1"/>
    <col min="12" max="12" width="19.21875" bestFit="1" customWidth="1"/>
  </cols>
  <sheetData>
    <row r="1" spans="1:12" x14ac:dyDescent="0.3">
      <c r="A1" s="4" t="s">
        <v>932</v>
      </c>
      <c r="B1" t="s">
        <v>943</v>
      </c>
      <c r="E1" t="s">
        <v>943</v>
      </c>
      <c r="F1" t="s">
        <v>944</v>
      </c>
      <c r="G1" t="s">
        <v>945</v>
      </c>
      <c r="H1" t="s">
        <v>950</v>
      </c>
    </row>
    <row r="2" spans="1:12" x14ac:dyDescent="0.3">
      <c r="A2" s="5" t="s">
        <v>22</v>
      </c>
      <c r="B2" s="8">
        <v>1730761</v>
      </c>
      <c r="E2" s="8">
        <v>3520984</v>
      </c>
      <c r="F2" s="9">
        <v>5.53</v>
      </c>
      <c r="G2" s="8">
        <v>3520.9839999999999</v>
      </c>
      <c r="H2" s="9">
        <v>1000</v>
      </c>
    </row>
    <row r="3" spans="1:12" x14ac:dyDescent="0.3">
      <c r="A3" s="5" t="s">
        <v>35</v>
      </c>
      <c r="B3" s="8">
        <v>1790223</v>
      </c>
    </row>
    <row r="4" spans="1:12" x14ac:dyDescent="0.3">
      <c r="A4" s="5" t="s">
        <v>933</v>
      </c>
      <c r="B4" s="8">
        <v>3520984</v>
      </c>
    </row>
    <row r="5" spans="1:12" x14ac:dyDescent="0.3">
      <c r="E5" s="4" t="s">
        <v>932</v>
      </c>
      <c r="F5" t="s">
        <v>943</v>
      </c>
    </row>
    <row r="6" spans="1:12" x14ac:dyDescent="0.3">
      <c r="A6" s="4" t="s">
        <v>932</v>
      </c>
      <c r="B6" t="s">
        <v>943</v>
      </c>
      <c r="E6" s="5" t="s">
        <v>877</v>
      </c>
      <c r="F6" s="8">
        <v>97665</v>
      </c>
    </row>
    <row r="7" spans="1:12" x14ac:dyDescent="0.3">
      <c r="A7" s="5" t="s">
        <v>842</v>
      </c>
      <c r="B7" s="8">
        <v>95468</v>
      </c>
      <c r="E7" s="5" t="s">
        <v>918</v>
      </c>
      <c r="F7" s="8">
        <v>106624</v>
      </c>
      <c r="H7" s="4" t="s">
        <v>932</v>
      </c>
      <c r="I7" t="s">
        <v>943</v>
      </c>
    </row>
    <row r="8" spans="1:12" x14ac:dyDescent="0.3">
      <c r="A8" s="5" t="s">
        <v>621</v>
      </c>
      <c r="B8" s="8">
        <v>704509</v>
      </c>
      <c r="E8" s="5" t="s">
        <v>910</v>
      </c>
      <c r="F8" s="8">
        <v>101556</v>
      </c>
      <c r="H8" s="5" t="s">
        <v>699</v>
      </c>
      <c r="I8" s="6">
        <v>586176</v>
      </c>
    </row>
    <row r="9" spans="1:12" x14ac:dyDescent="0.3">
      <c r="A9" s="5" t="s">
        <v>747</v>
      </c>
      <c r="B9" s="8">
        <v>511823</v>
      </c>
      <c r="E9" s="5" t="s">
        <v>858</v>
      </c>
      <c r="F9" s="8">
        <v>121905</v>
      </c>
      <c r="H9" s="5" t="s">
        <v>698</v>
      </c>
      <c r="I9" s="6">
        <v>674634</v>
      </c>
    </row>
    <row r="10" spans="1:12" x14ac:dyDescent="0.3">
      <c r="A10" s="5" t="s">
        <v>837</v>
      </c>
      <c r="B10" s="8">
        <v>140393</v>
      </c>
      <c r="E10" s="5" t="s">
        <v>884</v>
      </c>
      <c r="F10" s="8">
        <v>114476</v>
      </c>
      <c r="H10" s="5" t="s">
        <v>707</v>
      </c>
      <c r="I10" s="6">
        <v>408194</v>
      </c>
      <c r="L10">
        <f>CORREL(orders!D:D,orders!M:M)</f>
        <v>3.4781737193018245E-3</v>
      </c>
    </row>
    <row r="11" spans="1:12" x14ac:dyDescent="0.3">
      <c r="A11" s="5" t="s">
        <v>840</v>
      </c>
      <c r="B11" s="8">
        <v>150346</v>
      </c>
      <c r="E11" s="5" t="s">
        <v>933</v>
      </c>
      <c r="F11" s="8">
        <v>542226</v>
      </c>
      <c r="H11" s="5" t="s">
        <v>829</v>
      </c>
      <c r="I11" s="6">
        <v>313783</v>
      </c>
    </row>
    <row r="12" spans="1:12" x14ac:dyDescent="0.3">
      <c r="A12" s="5" t="s">
        <v>841</v>
      </c>
      <c r="B12" s="8">
        <v>157913</v>
      </c>
      <c r="H12" s="5" t="s">
        <v>701</v>
      </c>
      <c r="I12" s="6">
        <v>574682</v>
      </c>
    </row>
    <row r="13" spans="1:12" x14ac:dyDescent="0.3">
      <c r="A13" s="5" t="s">
        <v>839</v>
      </c>
      <c r="B13" s="8">
        <v>135826</v>
      </c>
      <c r="H13" s="5" t="s">
        <v>794</v>
      </c>
      <c r="I13" s="6">
        <v>631585</v>
      </c>
      <c r="L13" t="s">
        <v>947</v>
      </c>
    </row>
    <row r="14" spans="1:12" x14ac:dyDescent="0.3">
      <c r="A14" s="5" t="s">
        <v>795</v>
      </c>
      <c r="B14" s="8">
        <v>737389</v>
      </c>
      <c r="H14" s="5" t="s">
        <v>620</v>
      </c>
      <c r="I14" s="6">
        <v>331930</v>
      </c>
      <c r="L14" t="s">
        <v>948</v>
      </c>
    </row>
    <row r="15" spans="1:12" x14ac:dyDescent="0.3">
      <c r="A15" s="5" t="s">
        <v>843</v>
      </c>
      <c r="B15" s="8">
        <v>136938</v>
      </c>
      <c r="H15" s="5" t="s">
        <v>933</v>
      </c>
      <c r="I15" s="6">
        <v>3520984</v>
      </c>
      <c r="L15" t="s">
        <v>949</v>
      </c>
    </row>
    <row r="16" spans="1:12" x14ac:dyDescent="0.3">
      <c r="A16" s="5" t="s">
        <v>845</v>
      </c>
      <c r="B16" s="8">
        <v>151619</v>
      </c>
      <c r="D16" s="4" t="s">
        <v>932</v>
      </c>
      <c r="E16" t="s">
        <v>946</v>
      </c>
    </row>
    <row r="17" spans="1:5" x14ac:dyDescent="0.3">
      <c r="A17" s="5" t="s">
        <v>822</v>
      </c>
      <c r="B17" s="8">
        <v>449169</v>
      </c>
      <c r="D17" s="5" t="s">
        <v>218</v>
      </c>
      <c r="E17" s="9">
        <v>18</v>
      </c>
    </row>
    <row r="18" spans="1:5" x14ac:dyDescent="0.3">
      <c r="A18" s="5" t="s">
        <v>836</v>
      </c>
      <c r="B18" s="8">
        <v>149591</v>
      </c>
      <c r="D18" s="5" t="s">
        <v>152</v>
      </c>
      <c r="E18" s="9">
        <v>21</v>
      </c>
    </row>
    <row r="19" spans="1:5" x14ac:dyDescent="0.3">
      <c r="A19" s="5" t="s">
        <v>933</v>
      </c>
      <c r="B19" s="8">
        <v>3520984</v>
      </c>
      <c r="D19" s="5" t="s">
        <v>32</v>
      </c>
      <c r="E19" s="9">
        <v>18</v>
      </c>
    </row>
    <row r="20" spans="1:5" x14ac:dyDescent="0.3">
      <c r="D20" s="5" t="s">
        <v>324</v>
      </c>
      <c r="E20" s="9">
        <v>28</v>
      </c>
    </row>
    <row r="21" spans="1:5" x14ac:dyDescent="0.3">
      <c r="D21" s="5" t="s">
        <v>230</v>
      </c>
      <c r="E21" s="9">
        <v>21</v>
      </c>
    </row>
    <row r="22" spans="1:5" x14ac:dyDescent="0.3">
      <c r="D22" s="5" t="s">
        <v>301</v>
      </c>
      <c r="E22" s="9">
        <v>20</v>
      </c>
    </row>
    <row r="23" spans="1:5" x14ac:dyDescent="0.3">
      <c r="A23" s="4" t="s">
        <v>932</v>
      </c>
      <c r="B23" t="s">
        <v>943</v>
      </c>
      <c r="D23" s="5" t="s">
        <v>188</v>
      </c>
      <c r="E23" s="9">
        <v>24</v>
      </c>
    </row>
    <row r="24" spans="1:5" x14ac:dyDescent="0.3">
      <c r="A24" s="5" t="s">
        <v>868</v>
      </c>
      <c r="B24" s="8">
        <v>329862</v>
      </c>
      <c r="D24" s="5" t="s">
        <v>307</v>
      </c>
      <c r="E24" s="9">
        <v>29</v>
      </c>
    </row>
    <row r="25" spans="1:5" x14ac:dyDescent="0.3">
      <c r="A25" s="5" t="s">
        <v>863</v>
      </c>
      <c r="B25" s="8">
        <v>1005645</v>
      </c>
      <c r="D25" s="5" t="s">
        <v>158</v>
      </c>
      <c r="E25" s="9">
        <v>27</v>
      </c>
    </row>
    <row r="26" spans="1:5" x14ac:dyDescent="0.3">
      <c r="A26" s="5" t="s">
        <v>874</v>
      </c>
      <c r="B26" s="8">
        <v>201151</v>
      </c>
      <c r="D26" s="5" t="s">
        <v>397</v>
      </c>
      <c r="E26" s="9">
        <v>19</v>
      </c>
    </row>
    <row r="27" spans="1:5" x14ac:dyDescent="0.3">
      <c r="A27" s="5" t="s">
        <v>861</v>
      </c>
      <c r="B27" s="8">
        <v>212281</v>
      </c>
      <c r="D27" s="5" t="s">
        <v>933</v>
      </c>
      <c r="E27" s="9">
        <v>225</v>
      </c>
    </row>
    <row r="28" spans="1:5" x14ac:dyDescent="0.3">
      <c r="A28" s="5" t="s">
        <v>794</v>
      </c>
      <c r="B28" s="8">
        <v>297372</v>
      </c>
    </row>
    <row r="29" spans="1:5" x14ac:dyDescent="0.3">
      <c r="A29" s="5" t="s">
        <v>859</v>
      </c>
      <c r="B29" s="8">
        <v>740831</v>
      </c>
    </row>
    <row r="30" spans="1:5" x14ac:dyDescent="0.3">
      <c r="A30" s="5" t="s">
        <v>865</v>
      </c>
      <c r="B30" s="8">
        <v>733842</v>
      </c>
    </row>
    <row r="31" spans="1:5" x14ac:dyDescent="0.3">
      <c r="A31" s="5" t="s">
        <v>933</v>
      </c>
      <c r="B31" s="8">
        <v>3520984</v>
      </c>
    </row>
    <row r="34" spans="3:4" x14ac:dyDescent="0.3">
      <c r="C34" s="4" t="s">
        <v>932</v>
      </c>
      <c r="D34" t="s">
        <v>943</v>
      </c>
    </row>
    <row r="35" spans="3:4" x14ac:dyDescent="0.3">
      <c r="C35" s="5">
        <v>0</v>
      </c>
      <c r="D35" s="8">
        <v>99400</v>
      </c>
    </row>
    <row r="36" spans="3:4" x14ac:dyDescent="0.3">
      <c r="C36" s="5">
        <v>1</v>
      </c>
      <c r="D36" s="8">
        <v>129309</v>
      </c>
    </row>
    <row r="37" spans="3:4" x14ac:dyDescent="0.3">
      <c r="C37" s="5">
        <v>2</v>
      </c>
      <c r="D37" s="8">
        <v>152940</v>
      </c>
    </row>
    <row r="38" spans="3:4" x14ac:dyDescent="0.3">
      <c r="C38" s="5">
        <v>3</v>
      </c>
      <c r="D38" s="8">
        <v>146810</v>
      </c>
    </row>
    <row r="39" spans="3:4" x14ac:dyDescent="0.3">
      <c r="C39" s="5">
        <v>4</v>
      </c>
      <c r="D39" s="8">
        <v>114700</v>
      </c>
    </row>
    <row r="40" spans="3:4" x14ac:dyDescent="0.3">
      <c r="C40" s="5">
        <v>5</v>
      </c>
      <c r="D40" s="8">
        <v>156198</v>
      </c>
    </row>
    <row r="41" spans="3:4" x14ac:dyDescent="0.3">
      <c r="C41" s="5">
        <v>6</v>
      </c>
      <c r="D41" s="8">
        <v>177211</v>
      </c>
    </row>
    <row r="42" spans="3:4" x14ac:dyDescent="0.3">
      <c r="C42" s="5">
        <v>7</v>
      </c>
      <c r="D42" s="8">
        <v>147749</v>
      </c>
    </row>
    <row r="43" spans="3:4" x14ac:dyDescent="0.3">
      <c r="C43" s="5">
        <v>8</v>
      </c>
      <c r="D43" s="8">
        <v>133617</v>
      </c>
    </row>
    <row r="44" spans="3:4" x14ac:dyDescent="0.3">
      <c r="C44" s="5">
        <v>9</v>
      </c>
      <c r="D44" s="8">
        <v>153678</v>
      </c>
    </row>
    <row r="45" spans="3:4" x14ac:dyDescent="0.3">
      <c r="C45" s="5">
        <v>10</v>
      </c>
      <c r="D45" s="8">
        <v>94985</v>
      </c>
    </row>
    <row r="46" spans="3:4" x14ac:dyDescent="0.3">
      <c r="C46" s="5">
        <v>11</v>
      </c>
      <c r="D46" s="8">
        <v>130287</v>
      </c>
    </row>
    <row r="47" spans="3:4" x14ac:dyDescent="0.3">
      <c r="C47" s="5">
        <v>12</v>
      </c>
      <c r="D47" s="8">
        <v>162394</v>
      </c>
    </row>
    <row r="48" spans="3:4" x14ac:dyDescent="0.3">
      <c r="C48" s="5">
        <v>13</v>
      </c>
      <c r="D48" s="8">
        <v>152340</v>
      </c>
    </row>
    <row r="49" spans="3:4" x14ac:dyDescent="0.3">
      <c r="C49" s="5">
        <v>14</v>
      </c>
      <c r="D49" s="8">
        <v>126406</v>
      </c>
    </row>
    <row r="50" spans="3:4" x14ac:dyDescent="0.3">
      <c r="C50" s="5">
        <v>15</v>
      </c>
      <c r="D50" s="8">
        <v>163586</v>
      </c>
    </row>
    <row r="51" spans="3:4" x14ac:dyDescent="0.3">
      <c r="C51" s="5">
        <v>16</v>
      </c>
      <c r="D51" s="8">
        <v>128797</v>
      </c>
    </row>
    <row r="52" spans="3:4" x14ac:dyDescent="0.3">
      <c r="C52" s="5">
        <v>17</v>
      </c>
      <c r="D52" s="8">
        <v>155373</v>
      </c>
    </row>
    <row r="53" spans="3:4" x14ac:dyDescent="0.3">
      <c r="C53" s="5">
        <v>18</v>
      </c>
      <c r="D53" s="8">
        <v>173118</v>
      </c>
    </row>
    <row r="54" spans="3:4" x14ac:dyDescent="0.3">
      <c r="C54" s="5">
        <v>19</v>
      </c>
      <c r="D54" s="8">
        <v>185771</v>
      </c>
    </row>
    <row r="55" spans="3:4" x14ac:dyDescent="0.3">
      <c r="C55" s="5">
        <v>20</v>
      </c>
      <c r="D55" s="8">
        <v>186426</v>
      </c>
    </row>
    <row r="56" spans="3:4" x14ac:dyDescent="0.3">
      <c r="C56" s="5">
        <v>21</v>
      </c>
      <c r="D56" s="8">
        <v>155466</v>
      </c>
    </row>
    <row r="57" spans="3:4" x14ac:dyDescent="0.3">
      <c r="C57" s="5">
        <v>22</v>
      </c>
      <c r="D57" s="8">
        <v>125912</v>
      </c>
    </row>
    <row r="58" spans="3:4" x14ac:dyDescent="0.3">
      <c r="C58" s="5">
        <v>23</v>
      </c>
      <c r="D58" s="8">
        <v>168511</v>
      </c>
    </row>
    <row r="59" spans="3:4" x14ac:dyDescent="0.3">
      <c r="C59" s="5" t="s">
        <v>933</v>
      </c>
      <c r="D59"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EB32E-726D-4D6A-AD6B-94CC28A05D43}">
  <dimension ref="A1"/>
  <sheetViews>
    <sheetView tabSelected="1" zoomScale="61" zoomScaleNormal="100" workbookViewId="0">
      <selection activeCell="AD33" sqref="AD33"/>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A1719B2-9AC3-4987-8550-1047EED02FC9}">
  <ds:schemaRefs/>
</ds:datastoreItem>
</file>

<file path=customXml/itemProps2.xml><?xml version="1.0" encoding="utf-8"?>
<ds:datastoreItem xmlns:ds="http://schemas.openxmlformats.org/officeDocument/2006/customXml" ds:itemID="{A876F561-06DC-4AA7-BD32-7C4B2859BE63}">
  <ds:schemaRefs/>
</ds:datastoreItem>
</file>

<file path=customXml/itemProps3.xml><?xml version="1.0" encoding="utf-8"?>
<ds:datastoreItem xmlns:ds="http://schemas.openxmlformats.org/officeDocument/2006/customXml" ds:itemID="{6D904DE4-22AC-47D3-B87F-F6AF8C6E543F}">
  <ds:schemaRefs/>
</ds:datastoreItem>
</file>

<file path=customXml/itemProps4.xml><?xml version="1.0" encoding="utf-8"?>
<ds:datastoreItem xmlns:ds="http://schemas.openxmlformats.org/officeDocument/2006/customXml" ds:itemID="{AC67ABFB-E1C1-4669-91DA-E5E9241B9A63}">
  <ds:schemaRefs/>
</ds:datastoreItem>
</file>

<file path=customXml/itemProps5.xml><?xml version="1.0" encoding="utf-8"?>
<ds:datastoreItem xmlns:ds="http://schemas.openxmlformats.org/officeDocument/2006/customXml" ds:itemID="{50D01AA4-713E-4BFA-AF0C-8F2C09007CD2}">
  <ds:schemaRefs/>
</ds:datastoreItem>
</file>

<file path=customXml/itemProps6.xml><?xml version="1.0" encoding="utf-8"?>
<ds:datastoreItem xmlns:ds="http://schemas.openxmlformats.org/officeDocument/2006/customXml" ds:itemID="{B8C3FB99-3672-4359-A2A3-F0AFBBD9D14D}">
  <ds:schemaRefs>
    <ds:schemaRef ds:uri="http://schemas.microsoft.com/DataMashup"/>
  </ds:schemaRefs>
</ds:datastoreItem>
</file>

<file path=customXml/itemProps7.xml><?xml version="1.0" encoding="utf-8"?>
<ds:datastoreItem xmlns:ds="http://schemas.openxmlformats.org/officeDocument/2006/customXml" ds:itemID="{D0BFDFCB-3318-42F9-9CF3-B273309D1280}">
  <ds:schemaRefs/>
</ds:datastoreItem>
</file>

<file path=customXml/itemProps8.xml><?xml version="1.0" encoding="utf-8"?>
<ds:datastoreItem xmlns:ds="http://schemas.openxmlformats.org/officeDocument/2006/customXml" ds:itemID="{7E36BF7B-8AC7-4BDC-A322-353DE0CFD6A8}">
  <ds:schemaRefs/>
</ds:datastoreItem>
</file>

<file path=customXml/itemProps9.xml><?xml version="1.0" encoding="utf-8"?>
<ds:datastoreItem xmlns:ds="http://schemas.openxmlformats.org/officeDocument/2006/customXml" ds:itemID="{3182A767-DC9A-4A20-A88F-AF95CC8B48D1}">
  <ds:schemaRefs/>
</ds:datastoreItem>
</file>

<file path=customXml/itemProps10.xml><?xml version="1.0" encoding="utf-8"?>
<ds:datastoreItem xmlns:ds="http://schemas.openxmlformats.org/officeDocument/2006/customXml" ds:itemID="{497D1B77-6DED-4534-9C0F-A6670706FF0A}">
  <ds:schemaRefs/>
</ds:datastoreItem>
</file>

<file path=customXml/itemProps11.xml><?xml version="1.0" encoding="utf-8"?>
<ds:datastoreItem xmlns:ds="http://schemas.openxmlformats.org/officeDocument/2006/customXml" ds:itemID="{5388BB97-ABF8-42A2-B6C8-5A51F95697CC}">
  <ds:schemaRefs/>
</ds:datastoreItem>
</file>

<file path=customXml/itemProps12.xml><?xml version="1.0" encoding="utf-8"?>
<ds:datastoreItem xmlns:ds="http://schemas.openxmlformats.org/officeDocument/2006/customXml" ds:itemID="{E41A60C9-96E4-48FF-8AF5-3B861783B964}">
  <ds:schemaRefs/>
</ds:datastoreItem>
</file>

<file path=customXml/itemProps13.xml><?xml version="1.0" encoding="utf-8"?>
<ds:datastoreItem xmlns:ds="http://schemas.openxmlformats.org/officeDocument/2006/customXml" ds:itemID="{2FD261F1-8DEE-4F60-A2D3-07AA3A452A50}">
  <ds:schemaRefs/>
</ds:datastoreItem>
</file>

<file path=customXml/itemProps14.xml><?xml version="1.0" encoding="utf-8"?>
<ds:datastoreItem xmlns:ds="http://schemas.openxmlformats.org/officeDocument/2006/customXml" ds:itemID="{125DB36A-4A34-4ED8-A9F3-31BB019CBD5A}">
  <ds:schemaRefs/>
</ds:datastoreItem>
</file>

<file path=customXml/itemProps15.xml><?xml version="1.0" encoding="utf-8"?>
<ds:datastoreItem xmlns:ds="http://schemas.openxmlformats.org/officeDocument/2006/customXml" ds:itemID="{D0927562-620A-43B7-B4EE-E5FEF80A40D7}">
  <ds:schemaRefs/>
</ds:datastoreItem>
</file>

<file path=customXml/itemProps16.xml><?xml version="1.0" encoding="utf-8"?>
<ds:datastoreItem xmlns:ds="http://schemas.openxmlformats.org/officeDocument/2006/customXml" ds:itemID="{DD272F6C-3028-4C00-8DE8-8BA3C11437F4}">
  <ds:schemaRefs/>
</ds:datastoreItem>
</file>

<file path=customXml/itemProps17.xml><?xml version="1.0" encoding="utf-8"?>
<ds:datastoreItem xmlns:ds="http://schemas.openxmlformats.org/officeDocument/2006/customXml" ds:itemID="{8D02B82E-B867-4055-8168-73C7680EC396}">
  <ds:schemaRefs/>
</ds:datastoreItem>
</file>

<file path=customXml/itemProps18.xml><?xml version="1.0" encoding="utf-8"?>
<ds:datastoreItem xmlns:ds="http://schemas.openxmlformats.org/officeDocument/2006/customXml" ds:itemID="{0424DF3A-B166-4448-859B-89C3965E073C}">
  <ds:schemaRefs/>
</ds:datastoreItem>
</file>

<file path=customXml/itemProps19.xml><?xml version="1.0" encoding="utf-8"?>
<ds:datastoreItem xmlns:ds="http://schemas.openxmlformats.org/officeDocument/2006/customXml" ds:itemID="{34032EBC-5E0C-49E1-B148-6BF05B1B6966}">
  <ds:schemaRefs/>
</ds:datastoreItem>
</file>

<file path=customXml/itemProps20.xml><?xml version="1.0" encoding="utf-8"?>
<ds:datastoreItem xmlns:ds="http://schemas.openxmlformats.org/officeDocument/2006/customXml" ds:itemID="{271F7E96-C250-4B3C-B178-165A5A839CA7}">
  <ds:schemaRefs/>
</ds:datastoreItem>
</file>

<file path=customXml/itemProps21.xml><?xml version="1.0" encoding="utf-8"?>
<ds:datastoreItem xmlns:ds="http://schemas.openxmlformats.org/officeDocument/2006/customXml" ds:itemID="{D6CF9721-5CAE-4484-96E3-E9F70EAACF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New folder</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dc:creator>
  <cp:lastModifiedBy>gaurav rao</cp:lastModifiedBy>
  <dcterms:created xsi:type="dcterms:W3CDTF">2015-06-05T18:17:20Z</dcterms:created>
  <dcterms:modified xsi:type="dcterms:W3CDTF">2026-05-25T07:55:20Z</dcterms:modified>
</cp:coreProperties>
</file>